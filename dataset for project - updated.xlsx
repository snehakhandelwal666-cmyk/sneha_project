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 khandelwal\Desktop\AICW\project 2\"/>
    </mc:Choice>
  </mc:AlternateContent>
  <xr:revisionPtr revIDLastSave="0" documentId="13_ncr:1_{5BFF70AA-1304-430E-AFBD-74445FCC2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median_percenti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" i="1" l="1" a="1"/>
  <c r="U3" i="1" s="1"/>
  <c r="U4" i="1" a="1"/>
  <c r="U4" i="1" s="1"/>
  <c r="U5" i="1" a="1"/>
  <c r="U5" i="1" s="1"/>
  <c r="U6" i="1" a="1"/>
  <c r="U6" i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/>
  <c r="U14" i="1" a="1"/>
  <c r="U14" i="1" s="1"/>
  <c r="U15" i="1" a="1"/>
  <c r="U15" i="1" s="1"/>
  <c r="U16" i="1" a="1"/>
  <c r="U16" i="1" s="1"/>
  <c r="U17" i="1" a="1"/>
  <c r="U17" i="1"/>
  <c r="U18" i="1" a="1"/>
  <c r="U18" i="1" s="1"/>
  <c r="U19" i="1" a="1"/>
  <c r="U19" i="1" s="1"/>
  <c r="U20" i="1" a="1"/>
  <c r="U20" i="1"/>
  <c r="U21" i="1" a="1"/>
  <c r="U21" i="1" s="1"/>
  <c r="U22" i="1" a="1"/>
  <c r="U22" i="1" s="1"/>
  <c r="U23" i="1" a="1"/>
  <c r="U23" i="1" s="1"/>
  <c r="U24" i="1" a="1"/>
  <c r="U24" i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/>
  <c r="U32" i="1" a="1"/>
  <c r="U32" i="1" s="1"/>
  <c r="U33" i="1" a="1"/>
  <c r="U33" i="1" s="1"/>
  <c r="U34" i="1" a="1"/>
  <c r="U34" i="1" s="1"/>
  <c r="U35" i="1" a="1"/>
  <c r="U35" i="1"/>
  <c r="U36" i="1" a="1"/>
  <c r="U36" i="1" s="1"/>
  <c r="U37" i="1" a="1"/>
  <c r="U37" i="1" s="1"/>
  <c r="U38" i="1" a="1"/>
  <c r="U38" i="1"/>
  <c r="U39" i="1" a="1"/>
  <c r="U39" i="1" s="1"/>
  <c r="U40" i="1" a="1"/>
  <c r="U40" i="1" s="1"/>
  <c r="U41" i="1" a="1"/>
  <c r="U41" i="1" s="1"/>
  <c r="U42" i="1" a="1"/>
  <c r="U42" i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/>
  <c r="U50" i="1" a="1"/>
  <c r="U50" i="1" s="1"/>
  <c r="U51" i="1" a="1"/>
  <c r="U51" i="1" s="1"/>
  <c r="U52" i="1" a="1"/>
  <c r="U52" i="1" s="1"/>
  <c r="U53" i="1" a="1"/>
  <c r="U53" i="1"/>
  <c r="U54" i="1" a="1"/>
  <c r="U54" i="1" s="1"/>
  <c r="U55" i="1" a="1"/>
  <c r="U55" i="1" s="1"/>
  <c r="U56" i="1" a="1"/>
  <c r="U56" i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/>
  <c r="U104" i="1" a="1"/>
  <c r="U104" i="1" s="1"/>
  <c r="U105" i="1" a="1"/>
  <c r="U105" i="1" s="1"/>
  <c r="U106" i="1" a="1"/>
  <c r="U106" i="1" s="1"/>
  <c r="U107" i="1" a="1"/>
  <c r="U107" i="1"/>
  <c r="U108" i="1" a="1"/>
  <c r="U108" i="1" s="1"/>
  <c r="U109" i="1" a="1"/>
  <c r="U109" i="1" s="1"/>
  <c r="U110" i="1" a="1"/>
  <c r="U110" i="1"/>
  <c r="U111" i="1" a="1"/>
  <c r="U111" i="1" s="1"/>
  <c r="U112" i="1" a="1"/>
  <c r="U112" i="1" s="1"/>
  <c r="U113" i="1" a="1"/>
  <c r="U113" i="1" s="1"/>
  <c r="U114" i="1" a="1"/>
  <c r="U114" i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/>
  <c r="U129" i="1" a="1"/>
  <c r="U129" i="1" s="1"/>
  <c r="U130" i="1" a="1"/>
  <c r="U130" i="1" s="1"/>
  <c r="U131" i="1" a="1"/>
  <c r="U131" i="1" s="1"/>
  <c r="U132" i="1" a="1"/>
  <c r="U132" i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3" i="1" a="1"/>
  <c r="U143" i="1"/>
  <c r="U144" i="1" a="1"/>
  <c r="U144" i="1" s="1"/>
  <c r="U145" i="1" a="1"/>
  <c r="U145" i="1" s="1"/>
  <c r="U146" i="1" a="1"/>
  <c r="U146" i="1"/>
  <c r="U147" i="1" a="1"/>
  <c r="U147" i="1" s="1"/>
  <c r="U148" i="1" a="1"/>
  <c r="U148" i="1" s="1"/>
  <c r="U149" i="1" a="1"/>
  <c r="U149" i="1" s="1"/>
  <c r="U150" i="1" a="1"/>
  <c r="U150" i="1"/>
  <c r="U151" i="1" a="1"/>
  <c r="U151" i="1" s="1"/>
  <c r="U152" i="1" a="1"/>
  <c r="U152" i="1" s="1"/>
  <c r="U153" i="1" a="1"/>
  <c r="U153" i="1" s="1"/>
  <c r="U154" i="1" a="1"/>
  <c r="U154" i="1" s="1"/>
  <c r="U155" i="1" a="1"/>
  <c r="U155" i="1" s="1"/>
  <c r="U156" i="1" a="1"/>
  <c r="U156" i="1" s="1"/>
  <c r="U157" i="1" a="1"/>
  <c r="U157" i="1"/>
  <c r="U158" i="1" a="1"/>
  <c r="U158" i="1" s="1"/>
  <c r="U159" i="1" a="1"/>
  <c r="U159" i="1" s="1"/>
  <c r="U160" i="1" a="1"/>
  <c r="U160" i="1" s="1"/>
  <c r="U161" i="1" a="1"/>
  <c r="U161" i="1"/>
  <c r="U162" i="1" a="1"/>
  <c r="U162" i="1" s="1"/>
  <c r="U163" i="1" a="1"/>
  <c r="U163" i="1" s="1"/>
  <c r="U164" i="1" a="1"/>
  <c r="U164" i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 s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77" i="1" a="1"/>
  <c r="U177" i="1" s="1"/>
  <c r="U178" i="1" a="1"/>
  <c r="U178" i="1" s="1"/>
  <c r="U179" i="1" a="1"/>
  <c r="U179" i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 s="1"/>
  <c r="U186" i="1" a="1"/>
  <c r="U186" i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/>
  <c r="U194" i="1" a="1"/>
  <c r="U194" i="1" s="1"/>
  <c r="U195" i="1" a="1"/>
  <c r="U195" i="1" s="1"/>
  <c r="U196" i="1" a="1"/>
  <c r="U196" i="1" s="1"/>
  <c r="U197" i="1" a="1"/>
  <c r="U197" i="1"/>
  <c r="U198" i="1" a="1"/>
  <c r="U198" i="1" s="1"/>
  <c r="U199" i="1" a="1"/>
  <c r="U199" i="1" s="1"/>
  <c r="U200" i="1" a="1"/>
  <c r="U200" i="1"/>
  <c r="U201" i="1" a="1"/>
  <c r="U201" i="1" s="1"/>
  <c r="U202" i="1" a="1"/>
  <c r="U202" i="1" s="1"/>
  <c r="U203" i="1" a="1"/>
  <c r="U203" i="1" s="1"/>
  <c r="U204" i="1" a="1"/>
  <c r="U204" i="1"/>
  <c r="U205" i="1" a="1"/>
  <c r="U205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/>
  <c r="U211" i="1" a="1"/>
  <c r="U211" i="1"/>
  <c r="U212" i="1" a="1"/>
  <c r="U212" i="1" s="1"/>
  <c r="U213" i="1" a="1"/>
  <c r="U213" i="1" s="1"/>
  <c r="U214" i="1" a="1"/>
  <c r="U214" i="1" s="1"/>
  <c r="U215" i="1" a="1"/>
  <c r="U215" i="1"/>
  <c r="U216" i="1" a="1"/>
  <c r="U216" i="1" s="1"/>
  <c r="U217" i="1" a="1"/>
  <c r="U217" i="1" s="1"/>
  <c r="U218" i="1" a="1"/>
  <c r="U218" i="1"/>
  <c r="U219" i="1" a="1"/>
  <c r="U219" i="1" s="1"/>
  <c r="U220" i="1" a="1"/>
  <c r="U220" i="1" s="1"/>
  <c r="U221" i="1" a="1"/>
  <c r="U221" i="1" s="1"/>
  <c r="U222" i="1" a="1"/>
  <c r="U222" i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/>
  <c r="U230" i="1" a="1"/>
  <c r="U230" i="1" s="1"/>
  <c r="U231" i="1" a="1"/>
  <c r="U231" i="1" s="1"/>
  <c r="U232" i="1" a="1"/>
  <c r="U232" i="1" s="1"/>
  <c r="U233" i="1" a="1"/>
  <c r="U233" i="1" s="1"/>
  <c r="U234" i="1" a="1"/>
  <c r="U234" i="1" s="1"/>
  <c r="U235" i="1" a="1"/>
  <c r="U235" i="1" s="1"/>
  <c r="U236" i="1" a="1"/>
  <c r="U236" i="1"/>
  <c r="U237" i="1" a="1"/>
  <c r="U237" i="1" s="1"/>
  <c r="U238" i="1" a="1"/>
  <c r="U238" i="1" s="1"/>
  <c r="U239" i="1" a="1"/>
  <c r="U239" i="1" s="1"/>
  <c r="U240" i="1" a="1"/>
  <c r="U240" i="1"/>
  <c r="U241" i="1" a="1"/>
  <c r="U241" i="1" s="1"/>
  <c r="U242" i="1" a="1"/>
  <c r="U242" i="1" s="1"/>
  <c r="U243" i="1" a="1"/>
  <c r="U243" i="1" s="1"/>
  <c r="U244" i="1" a="1"/>
  <c r="U244" i="1" s="1"/>
  <c r="U245" i="1" a="1"/>
  <c r="U245" i="1" s="1"/>
  <c r="U246" i="1" a="1"/>
  <c r="U246" i="1"/>
  <c r="U247" i="1" a="1"/>
  <c r="U247" i="1"/>
  <c r="U248" i="1" a="1"/>
  <c r="U248" i="1" s="1"/>
  <c r="U249" i="1" a="1"/>
  <c r="U249" i="1" s="1"/>
  <c r="U250" i="1" a="1"/>
  <c r="U250" i="1" s="1"/>
  <c r="U251" i="1" a="1"/>
  <c r="U251" i="1"/>
  <c r="U252" i="1" a="1"/>
  <c r="U252" i="1" s="1"/>
  <c r="U253" i="1" a="1"/>
  <c r="U253" i="1" s="1"/>
  <c r="U254" i="1" a="1"/>
  <c r="U254" i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69" i="1" a="1"/>
  <c r="U269" i="1"/>
  <c r="U270" i="1" a="1"/>
  <c r="U270" i="1" s="1"/>
  <c r="U271" i="1" a="1"/>
  <c r="U271" i="1" s="1"/>
  <c r="U272" i="1" a="1"/>
  <c r="U272" i="1" s="1"/>
  <c r="U273" i="1" a="1"/>
  <c r="U273" i="1" s="1"/>
  <c r="U274" i="1" a="1"/>
  <c r="U274" i="1" s="1"/>
  <c r="U275" i="1" a="1"/>
  <c r="U275" i="1"/>
  <c r="U276" i="1" a="1"/>
  <c r="U276" i="1"/>
  <c r="U277" i="1" a="1"/>
  <c r="U277" i="1" s="1"/>
  <c r="U278" i="1" a="1"/>
  <c r="U278" i="1" s="1"/>
  <c r="U279" i="1" a="1"/>
  <c r="U279" i="1" s="1"/>
  <c r="U280" i="1" a="1"/>
  <c r="U280" i="1" s="1"/>
  <c r="U281" i="1" a="1"/>
  <c r="U281" i="1" s="1"/>
  <c r="U282" i="1" a="1"/>
  <c r="U282" i="1"/>
  <c r="U283" i="1" a="1"/>
  <c r="U283" i="1"/>
  <c r="U284" i="1" a="1"/>
  <c r="U284" i="1" s="1"/>
  <c r="U285" i="1" a="1"/>
  <c r="U285" i="1" s="1"/>
  <c r="U286" i="1" a="1"/>
  <c r="U286" i="1" s="1"/>
  <c r="U287" i="1" a="1"/>
  <c r="U287" i="1" s="1"/>
  <c r="U288" i="1" a="1"/>
  <c r="U288" i="1" s="1"/>
  <c r="U289" i="1" a="1"/>
  <c r="U289" i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 s="1"/>
  <c r="U298" i="1" a="1"/>
  <c r="U298" i="1" s="1"/>
  <c r="U299" i="1" a="1"/>
  <c r="U299" i="1" s="1"/>
  <c r="U300" i="1" a="1"/>
  <c r="U300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 s="1"/>
  <c r="U306" i="1" a="1"/>
  <c r="U306" i="1" s="1"/>
  <c r="U307" i="1" a="1"/>
  <c r="U307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 s="1"/>
  <c r="U314" i="1" a="1"/>
  <c r="U314" i="1" s="1"/>
  <c r="U315" i="1" a="1"/>
  <c r="U315" i="1" s="1"/>
  <c r="U316" i="1" a="1"/>
  <c r="U316" i="1" s="1"/>
  <c r="U317" i="1" a="1"/>
  <c r="U317" i="1" s="1"/>
  <c r="U318" i="1" a="1"/>
  <c r="U318" i="1"/>
  <c r="U319" i="1" a="1"/>
  <c r="U319" i="1"/>
  <c r="U320" i="1" a="1"/>
  <c r="U320" i="1" s="1"/>
  <c r="U321" i="1" a="1"/>
  <c r="U321" i="1" s="1"/>
  <c r="U322" i="1" a="1"/>
  <c r="U322" i="1" s="1"/>
  <c r="U323" i="1" a="1"/>
  <c r="U323" i="1" s="1"/>
  <c r="U324" i="1" a="1"/>
  <c r="U324" i="1" s="1"/>
  <c r="U325" i="1" a="1"/>
  <c r="U325" i="1"/>
  <c r="U326" i="1" a="1"/>
  <c r="U326" i="1" s="1"/>
  <c r="U327" i="1" a="1"/>
  <c r="U327" i="1" s="1"/>
  <c r="U328" i="1" a="1"/>
  <c r="U328" i="1" s="1"/>
  <c r="U329" i="1" a="1"/>
  <c r="U329" i="1" s="1"/>
  <c r="U330" i="1" a="1"/>
  <c r="U330" i="1" s="1"/>
  <c r="U331" i="1" a="1"/>
  <c r="U331" i="1" s="1"/>
  <c r="U332" i="1" a="1"/>
  <c r="U332" i="1"/>
  <c r="U333" i="1" a="1"/>
  <c r="U333" i="1" s="1"/>
  <c r="U334" i="1" a="1"/>
  <c r="U334" i="1" s="1"/>
  <c r="U335" i="1" a="1"/>
  <c r="U335" i="1" s="1"/>
  <c r="U336" i="1" a="1"/>
  <c r="U336" i="1"/>
  <c r="U337" i="1" a="1"/>
  <c r="U337" i="1" s="1"/>
  <c r="U338" i="1" a="1"/>
  <c r="U338" i="1" s="1"/>
  <c r="U339" i="1" a="1"/>
  <c r="U339" i="1" s="1"/>
  <c r="U340" i="1" a="1"/>
  <c r="U340" i="1" s="1"/>
  <c r="U341" i="1" a="1"/>
  <c r="U341" i="1"/>
  <c r="U342" i="1" a="1"/>
  <c r="U342" i="1" s="1"/>
  <c r="U343" i="1" a="1"/>
  <c r="U343" i="1"/>
  <c r="U344" i="1" a="1"/>
  <c r="U344" i="1" s="1"/>
  <c r="U345" i="1" a="1"/>
  <c r="U345" i="1" s="1"/>
  <c r="U346" i="1" a="1"/>
  <c r="U346" i="1" s="1"/>
  <c r="U347" i="1" a="1"/>
  <c r="U347" i="1"/>
  <c r="U348" i="1" a="1"/>
  <c r="U348" i="1"/>
  <c r="U349" i="1" a="1"/>
  <c r="U349" i="1" s="1"/>
  <c r="U350" i="1" a="1"/>
  <c r="U350" i="1"/>
  <c r="U351" i="1" a="1"/>
  <c r="U351" i="1" s="1"/>
  <c r="U352" i="1" a="1"/>
  <c r="U352" i="1" s="1"/>
  <c r="U353" i="1" a="1"/>
  <c r="U353" i="1" s="1"/>
  <c r="U354" i="1" a="1"/>
  <c r="U354" i="1"/>
  <c r="U355" i="1" a="1"/>
  <c r="U355" i="1"/>
  <c r="U356" i="1" a="1"/>
  <c r="U356" i="1" s="1"/>
  <c r="U357" i="1" a="1"/>
  <c r="U357" i="1" s="1"/>
  <c r="U358" i="1" a="1"/>
  <c r="U358" i="1" s="1"/>
  <c r="U359" i="1" a="1"/>
  <c r="U359" i="1"/>
  <c r="U360" i="1" a="1"/>
  <c r="U360" i="1" s="1"/>
  <c r="U361" i="1" a="1"/>
  <c r="U361" i="1"/>
  <c r="U362" i="1" a="1"/>
  <c r="U362" i="1"/>
  <c r="U363" i="1" a="1"/>
  <c r="U363" i="1" s="1"/>
  <c r="U364" i="1" a="1"/>
  <c r="U364" i="1" s="1"/>
  <c r="U365" i="1" a="1"/>
  <c r="U365" i="1"/>
  <c r="U366" i="1" a="1"/>
  <c r="U366" i="1"/>
  <c r="U367" i="1" a="1"/>
  <c r="U367" i="1" s="1"/>
  <c r="U368" i="1" a="1"/>
  <c r="U368" i="1"/>
  <c r="U369" i="1" a="1"/>
  <c r="U369" i="1" s="1"/>
  <c r="U370" i="1" a="1"/>
  <c r="U370" i="1" s="1"/>
  <c r="U371" i="1" a="1"/>
  <c r="U371" i="1"/>
  <c r="U372" i="1" a="1"/>
  <c r="U372" i="1" s="1"/>
  <c r="U373" i="1" a="1"/>
  <c r="U373" i="1" s="1"/>
  <c r="U374" i="1" a="1"/>
  <c r="U374" i="1" s="1"/>
  <c r="U375" i="1" a="1"/>
  <c r="U375" i="1" s="1"/>
  <c r="U376" i="1" a="1"/>
  <c r="U376" i="1" s="1"/>
  <c r="U377" i="1" a="1"/>
  <c r="U377" i="1"/>
  <c r="U378" i="1" a="1"/>
  <c r="U378" i="1"/>
  <c r="U379" i="1" a="1"/>
  <c r="U379" i="1"/>
  <c r="U380" i="1" a="1"/>
  <c r="U380" i="1"/>
  <c r="U381" i="1" a="1"/>
  <c r="U381" i="1" s="1"/>
  <c r="U382" i="1" a="1"/>
  <c r="U382" i="1" s="1"/>
  <c r="U383" i="1" a="1"/>
  <c r="U383" i="1" s="1"/>
  <c r="U384" i="1" a="1"/>
  <c r="U384" i="1" s="1"/>
  <c r="U385" i="1" a="1"/>
  <c r="U385" i="1"/>
  <c r="U386" i="1" a="1"/>
  <c r="U386" i="1"/>
  <c r="U387" i="1" a="1"/>
  <c r="U387" i="1" s="1"/>
  <c r="U388" i="1" a="1"/>
  <c r="U388" i="1" s="1"/>
  <c r="U389" i="1" a="1"/>
  <c r="U389" i="1" s="1"/>
  <c r="U390" i="1" a="1"/>
  <c r="U390" i="1"/>
  <c r="U391" i="1" a="1"/>
  <c r="U391" i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/>
  <c r="U398" i="1" a="1"/>
  <c r="U398" i="1" s="1"/>
  <c r="U399" i="1" a="1"/>
  <c r="U399" i="1" s="1"/>
  <c r="U400" i="1" a="1"/>
  <c r="U400" i="1" s="1"/>
  <c r="U401" i="1" a="1"/>
  <c r="U401" i="1"/>
  <c r="U402" i="1" a="1"/>
  <c r="U402" i="1"/>
  <c r="U403" i="1" a="1"/>
  <c r="U403" i="1" s="1"/>
  <c r="U404" i="1" a="1"/>
  <c r="U404" i="1" s="1"/>
  <c r="U405" i="1" a="1"/>
  <c r="U405" i="1" s="1"/>
  <c r="U406" i="1" a="1"/>
  <c r="U406" i="1" s="1"/>
  <c r="U407" i="1" a="1"/>
  <c r="U407" i="1"/>
  <c r="U408" i="1" a="1"/>
  <c r="U408" i="1" s="1"/>
  <c r="U409" i="1" a="1"/>
  <c r="U409" i="1"/>
  <c r="U410" i="1" a="1"/>
  <c r="U410" i="1" s="1"/>
  <c r="U411" i="1" a="1"/>
  <c r="U411" i="1" s="1"/>
  <c r="U412" i="1" a="1"/>
  <c r="U412" i="1" s="1"/>
  <c r="U413" i="1" a="1"/>
  <c r="U413" i="1"/>
  <c r="U414" i="1" a="1"/>
  <c r="U414" i="1" s="1"/>
  <c r="U415" i="1" a="1"/>
  <c r="U415" i="1" s="1"/>
  <c r="U416" i="1" a="1"/>
  <c r="U416" i="1"/>
  <c r="U417" i="1" a="1"/>
  <c r="U417" i="1" s="1"/>
  <c r="U418" i="1" a="1"/>
  <c r="U418" i="1" s="1"/>
  <c r="U419" i="1" a="1"/>
  <c r="U419" i="1"/>
  <c r="U420" i="1" a="1"/>
  <c r="U420" i="1" s="1"/>
  <c r="U421" i="1" a="1"/>
  <c r="U421" i="1" s="1"/>
  <c r="U422" i="1" a="1"/>
  <c r="U422" i="1" s="1"/>
  <c r="U423" i="1" a="1"/>
  <c r="U423" i="1" s="1"/>
  <c r="U424" i="1" a="1"/>
  <c r="U424" i="1" s="1"/>
  <c r="U425" i="1" a="1"/>
  <c r="U425" i="1" s="1"/>
  <c r="U426" i="1" a="1"/>
  <c r="U426" i="1" s="1"/>
  <c r="U427" i="1" a="1"/>
  <c r="U427" i="1" s="1"/>
  <c r="U428" i="1" a="1"/>
  <c r="U428" i="1"/>
  <c r="U429" i="1" a="1"/>
  <c r="U429" i="1" s="1"/>
  <c r="U430" i="1" a="1"/>
  <c r="U430" i="1" s="1"/>
  <c r="U431" i="1" a="1"/>
  <c r="U431" i="1" s="1"/>
  <c r="U432" i="1" a="1"/>
  <c r="U432" i="1" s="1"/>
  <c r="U433" i="1" a="1"/>
  <c r="U433" i="1"/>
  <c r="U434" i="1" a="1"/>
  <c r="U434" i="1"/>
  <c r="U435" i="1" a="1"/>
  <c r="U435" i="1" s="1"/>
  <c r="U436" i="1" a="1"/>
  <c r="U436" i="1" s="1"/>
  <c r="U437" i="1" a="1"/>
  <c r="U437" i="1"/>
  <c r="U438" i="1" a="1"/>
  <c r="U438" i="1" s="1"/>
  <c r="U439" i="1" a="1"/>
  <c r="U439" i="1" s="1"/>
  <c r="U440" i="1" a="1"/>
  <c r="U440" i="1"/>
  <c r="U441" i="1" a="1"/>
  <c r="U441" i="1" s="1"/>
  <c r="U442" i="1" a="1"/>
  <c r="U442" i="1" s="1"/>
  <c r="U443" i="1" a="1"/>
  <c r="U443" i="1" s="1"/>
  <c r="U444" i="1" a="1"/>
  <c r="U444" i="1"/>
  <c r="U445" i="1" a="1"/>
  <c r="U445" i="1" s="1"/>
  <c r="U446" i="1" a="1"/>
  <c r="U446" i="1" s="1"/>
  <c r="U447" i="1" a="1"/>
  <c r="U447" i="1" s="1"/>
  <c r="U448" i="1" a="1"/>
  <c r="U448" i="1" s="1"/>
  <c r="U449" i="1" a="1"/>
  <c r="U449" i="1"/>
  <c r="U450" i="1" a="1"/>
  <c r="U450" i="1"/>
  <c r="U451" i="1" a="1"/>
  <c r="U451" i="1"/>
  <c r="U452" i="1" a="1"/>
  <c r="U452" i="1"/>
  <c r="U453" i="1" a="1"/>
  <c r="U453" i="1" s="1"/>
  <c r="U454" i="1" a="1"/>
  <c r="U454" i="1" s="1"/>
  <c r="U455" i="1" a="1"/>
  <c r="U455" i="1"/>
  <c r="U456" i="1" a="1"/>
  <c r="U456" i="1"/>
  <c r="U457" i="1" a="1"/>
  <c r="U457" i="1"/>
  <c r="U458" i="1" a="1"/>
  <c r="U458" i="1" s="1"/>
  <c r="U459" i="1" a="1"/>
  <c r="U459" i="1" s="1"/>
  <c r="U460" i="1" a="1"/>
  <c r="U460" i="1" s="1"/>
  <c r="U461" i="1" a="1"/>
  <c r="U461" i="1" s="1"/>
  <c r="U462" i="1" a="1"/>
  <c r="U462" i="1" s="1"/>
  <c r="U463" i="1" a="1"/>
  <c r="U463" i="1"/>
  <c r="U464" i="1" a="1"/>
  <c r="U464" i="1" s="1"/>
  <c r="U465" i="1" a="1"/>
  <c r="U465" i="1" s="1"/>
  <c r="U466" i="1" a="1"/>
  <c r="U466" i="1" s="1"/>
  <c r="U467" i="1" a="1"/>
  <c r="U467" i="1"/>
  <c r="U468" i="1" a="1"/>
  <c r="U468" i="1" s="1"/>
  <c r="U469" i="1" a="1"/>
  <c r="U469" i="1" s="1"/>
  <c r="U470" i="1" a="1"/>
  <c r="U470" i="1"/>
  <c r="U471" i="1" a="1"/>
  <c r="U471" i="1" s="1"/>
  <c r="U472" i="1" a="1"/>
  <c r="U472" i="1" s="1"/>
  <c r="U473" i="1" a="1"/>
  <c r="U473" i="1"/>
  <c r="U474" i="1" a="1"/>
  <c r="U474" i="1" s="1"/>
  <c r="U475" i="1" a="1"/>
  <c r="U475" i="1" s="1"/>
  <c r="U476" i="1" a="1"/>
  <c r="U476" i="1" s="1"/>
  <c r="U477" i="1" a="1"/>
  <c r="U477" i="1" s="1"/>
  <c r="U478" i="1" a="1"/>
  <c r="U478" i="1" s="1"/>
  <c r="U479" i="1" a="1"/>
  <c r="U479" i="1"/>
  <c r="U480" i="1" a="1"/>
  <c r="U480" i="1" s="1"/>
  <c r="U481" i="1" a="1"/>
  <c r="U481" i="1" s="1"/>
  <c r="U482" i="1" a="1"/>
  <c r="U482" i="1" s="1"/>
  <c r="U483" i="1" a="1"/>
  <c r="U483" i="1" s="1"/>
  <c r="U484" i="1" a="1"/>
  <c r="U484" i="1" s="1"/>
  <c r="U485" i="1" a="1"/>
  <c r="U485" i="1" s="1"/>
  <c r="U486" i="1" a="1"/>
  <c r="U486" i="1"/>
  <c r="U487" i="1" a="1"/>
  <c r="U487" i="1"/>
  <c r="U488" i="1" a="1"/>
  <c r="U488" i="1"/>
  <c r="U489" i="1" a="1"/>
  <c r="U489" i="1" s="1"/>
  <c r="U490" i="1" a="1"/>
  <c r="U490" i="1" s="1"/>
  <c r="U491" i="1" a="1"/>
  <c r="U491" i="1"/>
  <c r="U492" i="1" a="1"/>
  <c r="U492" i="1" s="1"/>
  <c r="U493" i="1" a="1"/>
  <c r="U493" i="1"/>
  <c r="U494" i="1" a="1"/>
  <c r="U494" i="1"/>
  <c r="U495" i="1" a="1"/>
  <c r="U495" i="1" s="1"/>
  <c r="U496" i="1" a="1"/>
  <c r="U496" i="1" s="1"/>
  <c r="U497" i="1" a="1"/>
  <c r="U497" i="1" s="1"/>
  <c r="U498" i="1" a="1"/>
  <c r="U498" i="1"/>
  <c r="U499" i="1" a="1"/>
  <c r="U499" i="1" s="1"/>
  <c r="U500" i="1" a="1"/>
  <c r="U500" i="1" s="1"/>
  <c r="U501" i="1" a="1"/>
  <c r="U501" i="1" s="1"/>
  <c r="U502" i="1" a="1"/>
  <c r="U502" i="1" s="1"/>
  <c r="U503" i="1" a="1"/>
  <c r="U503" i="1" s="1"/>
  <c r="U504" i="1" a="1"/>
  <c r="U504" i="1" s="1"/>
  <c r="U505" i="1" a="1"/>
  <c r="U505" i="1" s="1"/>
  <c r="U506" i="1" a="1"/>
  <c r="U506" i="1"/>
  <c r="U507" i="1" a="1"/>
  <c r="U507" i="1" s="1"/>
  <c r="U508" i="1" a="1"/>
  <c r="U508" i="1" s="1"/>
  <c r="U509" i="1" a="1"/>
  <c r="U509" i="1"/>
  <c r="U510" i="1" a="1"/>
  <c r="U510" i="1"/>
  <c r="U511" i="1" a="1"/>
  <c r="U511" i="1" s="1"/>
  <c r="U512" i="1" a="1"/>
  <c r="U512" i="1" s="1"/>
  <c r="U513" i="1" a="1"/>
  <c r="U513" i="1"/>
  <c r="U514" i="1" a="1"/>
  <c r="U514" i="1" s="1"/>
  <c r="U515" i="1" a="1"/>
  <c r="U515" i="1" s="1"/>
  <c r="U516" i="1" a="1"/>
  <c r="U516" i="1"/>
  <c r="U517" i="1" a="1"/>
  <c r="U517" i="1" s="1"/>
  <c r="U518" i="1" a="1"/>
  <c r="U518" i="1"/>
  <c r="U519" i="1" a="1"/>
  <c r="U519" i="1" s="1"/>
  <c r="U520" i="1" a="1"/>
  <c r="U520" i="1"/>
  <c r="U521" i="1" a="1"/>
  <c r="U521" i="1" s="1"/>
  <c r="U522" i="1" a="1"/>
  <c r="U522" i="1"/>
  <c r="U523" i="1" a="1"/>
  <c r="U523" i="1" s="1"/>
  <c r="U524" i="1" a="1"/>
  <c r="U524" i="1" s="1"/>
  <c r="U525" i="1" a="1"/>
  <c r="U525" i="1" s="1"/>
  <c r="U526" i="1" a="1"/>
  <c r="U526" i="1"/>
  <c r="U527" i="1" a="1"/>
  <c r="U527" i="1" s="1"/>
  <c r="U528" i="1" a="1"/>
  <c r="U528" i="1" s="1"/>
  <c r="U529" i="1" a="1"/>
  <c r="U529" i="1" s="1"/>
  <c r="U530" i="1" a="1"/>
  <c r="U530" i="1"/>
  <c r="U531" i="1" a="1"/>
  <c r="U531" i="1"/>
  <c r="U532" i="1" a="1"/>
  <c r="U532" i="1" s="1"/>
  <c r="U533" i="1" a="1"/>
  <c r="U533" i="1"/>
  <c r="U534" i="1" a="1"/>
  <c r="U534" i="1" s="1"/>
  <c r="U535" i="1" a="1"/>
  <c r="U535" i="1" s="1"/>
  <c r="U536" i="1" a="1"/>
  <c r="U536" i="1"/>
  <c r="U537" i="1" a="1"/>
  <c r="U537" i="1" s="1"/>
  <c r="U538" i="1" a="1"/>
  <c r="U538" i="1" s="1"/>
  <c r="U539" i="1" a="1"/>
  <c r="U539" i="1"/>
  <c r="U540" i="1" a="1"/>
  <c r="U540" i="1" s="1"/>
  <c r="U541" i="1" a="1"/>
  <c r="U541" i="1" s="1"/>
  <c r="U542" i="1" a="1"/>
  <c r="U542" i="1"/>
  <c r="U543" i="1" a="1"/>
  <c r="U543" i="1"/>
  <c r="U544" i="1" a="1"/>
  <c r="U544" i="1"/>
  <c r="U545" i="1" a="1"/>
  <c r="U545" i="1" s="1"/>
  <c r="U546" i="1" a="1"/>
  <c r="U546" i="1"/>
  <c r="U547" i="1" a="1"/>
  <c r="U547" i="1" s="1"/>
  <c r="U548" i="1" a="1"/>
  <c r="U548" i="1" s="1"/>
  <c r="U549" i="1" a="1"/>
  <c r="U549" i="1"/>
  <c r="U550" i="1" a="1"/>
  <c r="U550" i="1" s="1"/>
  <c r="U551" i="1" a="1"/>
  <c r="U551" i="1" s="1"/>
  <c r="U552" i="1" a="1"/>
  <c r="U552" i="1"/>
  <c r="U553" i="1" a="1"/>
  <c r="U553" i="1" s="1"/>
  <c r="U554" i="1" a="1"/>
  <c r="U554" i="1" s="1"/>
  <c r="U555" i="1" a="1"/>
  <c r="U555" i="1"/>
  <c r="U556" i="1" a="1"/>
  <c r="U556" i="1"/>
  <c r="U557" i="1" a="1"/>
  <c r="U557" i="1"/>
  <c r="U558" i="1" a="1"/>
  <c r="U558" i="1" s="1"/>
  <c r="U559" i="1" a="1"/>
  <c r="U559" i="1" s="1"/>
  <c r="U560" i="1" a="1"/>
  <c r="U560" i="1" s="1"/>
  <c r="U561" i="1" a="1"/>
  <c r="U561" i="1" s="1"/>
  <c r="U562" i="1" a="1"/>
  <c r="U562" i="1"/>
  <c r="U563" i="1" a="1"/>
  <c r="U563" i="1" s="1"/>
  <c r="U564" i="1" a="1"/>
  <c r="U564" i="1" s="1"/>
  <c r="U565" i="1" a="1"/>
  <c r="U565" i="1" s="1"/>
  <c r="U566" i="1" a="1"/>
  <c r="U566" i="1"/>
  <c r="U567" i="1" a="1"/>
  <c r="U567" i="1" s="1"/>
  <c r="U568" i="1" a="1"/>
  <c r="U568" i="1"/>
  <c r="U569" i="1" a="1"/>
  <c r="U569" i="1"/>
  <c r="U570" i="1" a="1"/>
  <c r="U570" i="1"/>
  <c r="U571" i="1" a="1"/>
  <c r="U571" i="1" s="1"/>
  <c r="U572" i="1" a="1"/>
  <c r="U572" i="1"/>
  <c r="U573" i="1" a="1"/>
  <c r="U573" i="1" s="1"/>
  <c r="U574" i="1" a="1"/>
  <c r="U574" i="1" s="1"/>
  <c r="U575" i="1" a="1"/>
  <c r="U575" i="1"/>
  <c r="U576" i="1" a="1"/>
  <c r="U576" i="1" s="1"/>
  <c r="U577" i="1" a="1"/>
  <c r="U577" i="1" s="1"/>
  <c r="U578" i="1" a="1"/>
  <c r="U578" i="1" s="1"/>
  <c r="U579" i="1" a="1"/>
  <c r="U579" i="1"/>
  <c r="U580" i="1" a="1"/>
  <c r="U580" i="1" s="1"/>
  <c r="U581" i="1" a="1"/>
  <c r="U581" i="1"/>
  <c r="U582" i="1" a="1"/>
  <c r="U582" i="1"/>
  <c r="U583" i="1" a="1"/>
  <c r="U583" i="1" s="1"/>
  <c r="U584" i="1" a="1"/>
  <c r="U584" i="1" s="1"/>
  <c r="U585" i="1" a="1"/>
  <c r="U585" i="1"/>
  <c r="U586" i="1" a="1"/>
  <c r="U586" i="1" s="1"/>
  <c r="U587" i="1" a="1"/>
  <c r="U587" i="1" s="1"/>
  <c r="U588" i="1" a="1"/>
  <c r="U588" i="1"/>
  <c r="U589" i="1" a="1"/>
  <c r="U589" i="1" s="1"/>
  <c r="U590" i="1" a="1"/>
  <c r="U590" i="1"/>
  <c r="U591" i="1" a="1"/>
  <c r="U591" i="1" s="1"/>
  <c r="U592" i="1" a="1"/>
  <c r="U592" i="1"/>
  <c r="U593" i="1" a="1"/>
  <c r="U593" i="1" s="1"/>
  <c r="U594" i="1" a="1"/>
  <c r="U594" i="1"/>
  <c r="U595" i="1" a="1"/>
  <c r="U595" i="1" s="1"/>
  <c r="U596" i="1" a="1"/>
  <c r="U596" i="1" s="1"/>
  <c r="U597" i="1" a="1"/>
  <c r="U597" i="1" s="1"/>
  <c r="U598" i="1" a="1"/>
  <c r="U598" i="1"/>
  <c r="U599" i="1" a="1"/>
  <c r="U599" i="1" s="1"/>
  <c r="U600" i="1" a="1"/>
  <c r="U600" i="1" s="1"/>
  <c r="U601" i="1" a="1"/>
  <c r="U601" i="1" s="1"/>
  <c r="U602" i="1" a="1"/>
  <c r="U602" i="1"/>
  <c r="U603" i="1" a="1"/>
  <c r="U603" i="1"/>
  <c r="U604" i="1" a="1"/>
  <c r="U604" i="1" s="1"/>
  <c r="U605" i="1" a="1"/>
  <c r="U605" i="1"/>
  <c r="U606" i="1" a="1"/>
  <c r="U606" i="1" s="1"/>
  <c r="U607" i="1" a="1"/>
  <c r="U607" i="1" s="1"/>
  <c r="U608" i="1" a="1"/>
  <c r="U608" i="1"/>
  <c r="U609" i="1" a="1"/>
  <c r="U609" i="1" s="1"/>
  <c r="U610" i="1" a="1"/>
  <c r="U610" i="1" s="1"/>
  <c r="U611" i="1" a="1"/>
  <c r="U611" i="1"/>
  <c r="U612" i="1" a="1"/>
  <c r="U612" i="1" s="1"/>
  <c r="U613" i="1" a="1"/>
  <c r="U613" i="1" s="1"/>
  <c r="U614" i="1" a="1"/>
  <c r="U614" i="1"/>
  <c r="U615" i="1" a="1"/>
  <c r="U615" i="1"/>
  <c r="U616" i="1" a="1"/>
  <c r="U616" i="1"/>
  <c r="U617" i="1" a="1"/>
  <c r="U617" i="1" s="1"/>
  <c r="U618" i="1" a="1"/>
  <c r="U618" i="1"/>
  <c r="U619" i="1" a="1"/>
  <c r="U619" i="1" s="1"/>
  <c r="U620" i="1" a="1"/>
  <c r="U620" i="1" s="1"/>
  <c r="U621" i="1" a="1"/>
  <c r="U621" i="1"/>
  <c r="U622" i="1" a="1"/>
  <c r="U622" i="1" s="1"/>
  <c r="U623" i="1" a="1"/>
  <c r="U623" i="1" s="1"/>
  <c r="U624" i="1" a="1"/>
  <c r="U624" i="1"/>
  <c r="U625" i="1" a="1"/>
  <c r="U625" i="1" s="1"/>
  <c r="U626" i="1" a="1"/>
  <c r="U626" i="1" s="1"/>
  <c r="U627" i="1" a="1"/>
  <c r="U627" i="1"/>
  <c r="U628" i="1" a="1"/>
  <c r="U628" i="1"/>
  <c r="U629" i="1" a="1"/>
  <c r="U629" i="1"/>
  <c r="U630" i="1" a="1"/>
  <c r="U630" i="1" s="1"/>
  <c r="U631" i="1" a="1"/>
  <c r="U631" i="1" s="1"/>
  <c r="U632" i="1" a="1"/>
  <c r="U632" i="1" s="1"/>
  <c r="U633" i="1" a="1"/>
  <c r="U633" i="1" s="1"/>
  <c r="U634" i="1" a="1"/>
  <c r="U634" i="1"/>
  <c r="U635" i="1" a="1"/>
  <c r="U635" i="1" s="1"/>
  <c r="U636" i="1" a="1"/>
  <c r="U636" i="1" s="1"/>
  <c r="U637" i="1" a="1"/>
  <c r="U637" i="1" s="1"/>
  <c r="U638" i="1" a="1"/>
  <c r="U638" i="1"/>
  <c r="U639" i="1" a="1"/>
  <c r="U639" i="1" s="1"/>
  <c r="U640" i="1" a="1"/>
  <c r="U640" i="1"/>
  <c r="U641" i="1" a="1"/>
  <c r="U641" i="1"/>
  <c r="U642" i="1" a="1"/>
  <c r="U642" i="1"/>
  <c r="U643" i="1" a="1"/>
  <c r="U643" i="1" s="1"/>
  <c r="U644" i="1" a="1"/>
  <c r="U644" i="1"/>
  <c r="U645" i="1" a="1"/>
  <c r="U645" i="1" s="1"/>
  <c r="U646" i="1" a="1"/>
  <c r="U646" i="1" s="1"/>
  <c r="U647" i="1" a="1"/>
  <c r="U647" i="1"/>
  <c r="U648" i="1" a="1"/>
  <c r="U648" i="1" s="1"/>
  <c r="U649" i="1" a="1"/>
  <c r="U649" i="1" s="1"/>
  <c r="U650" i="1" a="1"/>
  <c r="U650" i="1" s="1"/>
  <c r="U651" i="1" a="1"/>
  <c r="U651" i="1"/>
  <c r="U652" i="1" a="1"/>
  <c r="U652" i="1" s="1"/>
  <c r="U653" i="1" a="1"/>
  <c r="U653" i="1"/>
  <c r="U654" i="1" a="1"/>
  <c r="U654" i="1"/>
  <c r="U655" i="1" a="1"/>
  <c r="U655" i="1" s="1"/>
  <c r="U656" i="1" a="1"/>
  <c r="U656" i="1" s="1"/>
  <c r="U657" i="1" a="1"/>
  <c r="U657" i="1"/>
  <c r="U658" i="1" a="1"/>
  <c r="U658" i="1" s="1"/>
  <c r="U659" i="1" a="1"/>
  <c r="U659" i="1" s="1"/>
  <c r="U660" i="1" a="1"/>
  <c r="U660" i="1"/>
  <c r="U661" i="1" a="1"/>
  <c r="U661" i="1" s="1"/>
  <c r="U662" i="1" a="1"/>
  <c r="U662" i="1"/>
  <c r="U663" i="1" a="1"/>
  <c r="U663" i="1" s="1"/>
  <c r="U664" i="1" a="1"/>
  <c r="U664" i="1"/>
  <c r="U665" i="1" a="1"/>
  <c r="U665" i="1" s="1"/>
  <c r="U666" i="1" a="1"/>
  <c r="U666" i="1"/>
  <c r="U667" i="1" a="1"/>
  <c r="U667" i="1" s="1"/>
  <c r="U668" i="1" a="1"/>
  <c r="U668" i="1" s="1"/>
  <c r="U669" i="1" a="1"/>
  <c r="U669" i="1" s="1"/>
  <c r="U670" i="1" a="1"/>
  <c r="U670" i="1"/>
  <c r="U671" i="1" a="1"/>
  <c r="U671" i="1" s="1"/>
  <c r="U672" i="1" a="1"/>
  <c r="U672" i="1" s="1"/>
  <c r="U673" i="1" a="1"/>
  <c r="U673" i="1" s="1"/>
  <c r="U674" i="1" a="1"/>
  <c r="U674" i="1"/>
  <c r="U675" i="1" a="1"/>
  <c r="U675" i="1"/>
  <c r="U676" i="1" a="1"/>
  <c r="U676" i="1" s="1"/>
  <c r="U677" i="1" a="1"/>
  <c r="U677" i="1"/>
  <c r="U678" i="1" a="1"/>
  <c r="U678" i="1" s="1"/>
  <c r="U679" i="1" a="1"/>
  <c r="U679" i="1" s="1"/>
  <c r="U680" i="1" a="1"/>
  <c r="U680" i="1"/>
  <c r="U681" i="1" a="1"/>
  <c r="U681" i="1"/>
  <c r="U682" i="1" a="1"/>
  <c r="U682" i="1" s="1"/>
  <c r="U683" i="1" a="1"/>
  <c r="U683" i="1"/>
  <c r="U684" i="1" a="1"/>
  <c r="U684" i="1" s="1"/>
  <c r="U685" i="1" a="1"/>
  <c r="U685" i="1" s="1"/>
  <c r="U686" i="1" a="1"/>
  <c r="U686" i="1"/>
  <c r="U687" i="1" a="1"/>
  <c r="U687" i="1" s="1"/>
  <c r="U688" i="1" a="1"/>
  <c r="U688" i="1" s="1"/>
  <c r="U689" i="1" a="1"/>
  <c r="U689" i="1"/>
  <c r="U690" i="1" a="1"/>
  <c r="U690" i="1" s="1"/>
  <c r="U691" i="1" a="1"/>
  <c r="U691" i="1" s="1"/>
  <c r="U692" i="1" a="1"/>
  <c r="U692" i="1"/>
  <c r="U693" i="1" a="1"/>
  <c r="U693" i="1" s="1"/>
  <c r="U694" i="1" a="1"/>
  <c r="U694" i="1" s="1"/>
  <c r="U695" i="1" a="1"/>
  <c r="U695" i="1"/>
  <c r="U696" i="1" a="1"/>
  <c r="U696" i="1" s="1"/>
  <c r="U697" i="1" a="1"/>
  <c r="U697" i="1" s="1"/>
  <c r="U698" i="1" a="1"/>
  <c r="U698" i="1"/>
  <c r="U699" i="1" a="1"/>
  <c r="U699" i="1" s="1"/>
  <c r="U700" i="1" a="1"/>
  <c r="U700" i="1" s="1"/>
  <c r="U701" i="1" a="1"/>
  <c r="U701" i="1"/>
  <c r="U702" i="1" a="1"/>
  <c r="U702" i="1" s="1"/>
  <c r="U703" i="1" a="1"/>
  <c r="U703" i="1" s="1"/>
  <c r="U704" i="1" a="1"/>
  <c r="U704" i="1"/>
  <c r="U705" i="1" a="1"/>
  <c r="U705" i="1" s="1"/>
  <c r="U706" i="1" a="1"/>
  <c r="U706" i="1" s="1"/>
  <c r="U707" i="1" a="1"/>
  <c r="U707" i="1"/>
  <c r="U708" i="1" a="1"/>
  <c r="U708" i="1" s="1"/>
  <c r="U709" i="1" a="1"/>
  <c r="U709" i="1" s="1"/>
  <c r="U710" i="1" a="1"/>
  <c r="U710" i="1"/>
  <c r="U711" i="1" a="1"/>
  <c r="U711" i="1" s="1"/>
  <c r="U712" i="1" a="1"/>
  <c r="U712" i="1" s="1"/>
  <c r="U713" i="1" a="1"/>
  <c r="U713" i="1"/>
  <c r="U714" i="1" a="1"/>
  <c r="U714" i="1" s="1"/>
  <c r="U715" i="1" a="1"/>
  <c r="U715" i="1" s="1"/>
  <c r="U716" i="1" a="1"/>
  <c r="U716" i="1"/>
  <c r="U717" i="1" a="1"/>
  <c r="U717" i="1" s="1"/>
  <c r="U718" i="1" a="1"/>
  <c r="U718" i="1" s="1"/>
  <c r="U719" i="1" a="1"/>
  <c r="U719" i="1"/>
  <c r="U720" i="1" a="1"/>
  <c r="U720" i="1" s="1"/>
  <c r="U721" i="1" a="1"/>
  <c r="U721" i="1" s="1"/>
  <c r="U722" i="1" a="1"/>
  <c r="U722" i="1"/>
  <c r="U723" i="1" a="1"/>
  <c r="U723" i="1" s="1"/>
  <c r="U724" i="1" a="1"/>
  <c r="U724" i="1" s="1"/>
  <c r="U725" i="1" a="1"/>
  <c r="U725" i="1"/>
  <c r="U726" i="1" a="1"/>
  <c r="U726" i="1" s="1"/>
  <c r="U727" i="1" a="1"/>
  <c r="U727" i="1" s="1"/>
  <c r="U728" i="1" a="1"/>
  <c r="U728" i="1"/>
  <c r="U729" i="1" a="1"/>
  <c r="U729" i="1" s="1"/>
  <c r="U730" i="1" a="1"/>
  <c r="U730" i="1" s="1"/>
  <c r="U731" i="1" a="1"/>
  <c r="U731" i="1"/>
  <c r="U732" i="1" a="1"/>
  <c r="U732" i="1" s="1"/>
  <c r="U733" i="1" a="1"/>
  <c r="U733" i="1" s="1"/>
  <c r="U734" i="1" a="1"/>
  <c r="U734" i="1"/>
  <c r="U735" i="1" a="1"/>
  <c r="U735" i="1" s="1"/>
  <c r="U736" i="1" a="1"/>
  <c r="U736" i="1" s="1"/>
  <c r="U737" i="1" a="1"/>
  <c r="U737" i="1"/>
  <c r="U738" i="1" a="1"/>
  <c r="U738" i="1" s="1"/>
  <c r="U739" i="1" a="1"/>
  <c r="U739" i="1" s="1"/>
  <c r="U740" i="1" a="1"/>
  <c r="U740" i="1"/>
  <c r="U741" i="1" a="1"/>
  <c r="U741" i="1" s="1"/>
  <c r="U742" i="1" a="1"/>
  <c r="U742" i="1" s="1"/>
  <c r="U743" i="1" a="1"/>
  <c r="U743" i="1"/>
  <c r="U744" i="1" a="1"/>
  <c r="U744" i="1" s="1"/>
  <c r="U745" i="1" a="1"/>
  <c r="U745" i="1" s="1"/>
  <c r="U746" i="1" a="1"/>
  <c r="U746" i="1"/>
  <c r="U747" i="1" a="1"/>
  <c r="U747" i="1" s="1"/>
  <c r="U748" i="1" a="1"/>
  <c r="U748" i="1" s="1"/>
  <c r="U749" i="1" a="1"/>
  <c r="U749" i="1"/>
  <c r="U750" i="1" a="1"/>
  <c r="U750" i="1" s="1"/>
  <c r="U751" i="1" a="1"/>
  <c r="U751" i="1" s="1"/>
  <c r="U752" i="1" a="1"/>
  <c r="U752" i="1"/>
  <c r="U753" i="1" a="1"/>
  <c r="U753" i="1" s="1"/>
  <c r="U754" i="1" a="1"/>
  <c r="U754" i="1" s="1"/>
  <c r="U755" i="1" a="1"/>
  <c r="U755" i="1"/>
  <c r="U756" i="1" a="1"/>
  <c r="U756" i="1" s="1"/>
  <c r="U757" i="1" a="1"/>
  <c r="U757" i="1" s="1"/>
  <c r="U758" i="1" a="1"/>
  <c r="U758" i="1"/>
  <c r="U759" i="1" a="1"/>
  <c r="U759" i="1" s="1"/>
  <c r="U760" i="1" a="1"/>
  <c r="U760" i="1" s="1"/>
  <c r="U761" i="1" a="1"/>
  <c r="U761" i="1"/>
  <c r="U762" i="1" a="1"/>
  <c r="U762" i="1" s="1"/>
  <c r="U763" i="1" a="1"/>
  <c r="U763" i="1" s="1"/>
  <c r="U764" i="1" a="1"/>
  <c r="U764" i="1"/>
  <c r="U765" i="1" a="1"/>
  <c r="U765" i="1" s="1"/>
  <c r="U766" i="1" a="1"/>
  <c r="U766" i="1" s="1"/>
  <c r="U767" i="1" a="1"/>
  <c r="U767" i="1"/>
  <c r="U768" i="1" a="1"/>
  <c r="U768" i="1" s="1"/>
  <c r="U769" i="1" a="1"/>
  <c r="U769" i="1" s="1"/>
  <c r="U770" i="1" a="1"/>
  <c r="U770" i="1"/>
  <c r="U771" i="1" a="1"/>
  <c r="U771" i="1" s="1"/>
  <c r="U772" i="1" a="1"/>
  <c r="U772" i="1" s="1"/>
  <c r="U773" i="1" a="1"/>
  <c r="U773" i="1"/>
  <c r="U774" i="1" a="1"/>
  <c r="U774" i="1" s="1"/>
  <c r="U775" i="1" a="1"/>
  <c r="U775" i="1" s="1"/>
  <c r="U776" i="1" a="1"/>
  <c r="U776" i="1"/>
  <c r="U777" i="1" a="1"/>
  <c r="U777" i="1" s="1"/>
  <c r="U778" i="1" a="1"/>
  <c r="U778" i="1" s="1"/>
  <c r="U779" i="1" a="1"/>
  <c r="U779" i="1"/>
  <c r="U780" i="1" a="1"/>
  <c r="U780" i="1" s="1"/>
  <c r="U781" i="1" a="1"/>
  <c r="U781" i="1" s="1"/>
  <c r="U782" i="1" a="1"/>
  <c r="U782" i="1" s="1"/>
  <c r="U783" i="1" a="1"/>
  <c r="U783" i="1" s="1"/>
  <c r="U784" i="1" a="1"/>
  <c r="U784" i="1" s="1"/>
  <c r="U785" i="1" a="1"/>
  <c r="U785" i="1" s="1"/>
  <c r="U786" i="1" a="1"/>
  <c r="U786" i="1" s="1"/>
  <c r="U787" i="1" a="1"/>
  <c r="U787" i="1" s="1"/>
  <c r="U788" i="1" a="1"/>
  <c r="U788" i="1" s="1"/>
  <c r="U789" i="1" a="1"/>
  <c r="U789" i="1" s="1"/>
  <c r="U790" i="1" a="1"/>
  <c r="U790" i="1" s="1"/>
  <c r="U791" i="1" a="1"/>
  <c r="U791" i="1" s="1"/>
  <c r="U792" i="1" a="1"/>
  <c r="U792" i="1" s="1"/>
  <c r="U793" i="1" a="1"/>
  <c r="U793" i="1" s="1"/>
  <c r="U794" i="1" a="1"/>
  <c r="U794" i="1" s="1"/>
  <c r="U795" i="1" a="1"/>
  <c r="U795" i="1" s="1"/>
  <c r="U796" i="1" a="1"/>
  <c r="U796" i="1" s="1"/>
  <c r="U797" i="1" a="1"/>
  <c r="U797" i="1" s="1"/>
  <c r="U798" i="1" a="1"/>
  <c r="U798" i="1" s="1"/>
  <c r="U799" i="1" a="1"/>
  <c r="U799" i="1" s="1"/>
  <c r="U800" i="1" a="1"/>
  <c r="U800" i="1" s="1"/>
  <c r="U801" i="1" a="1"/>
  <c r="U801" i="1" s="1"/>
  <c r="U802" i="1" a="1"/>
  <c r="U802" i="1" s="1"/>
  <c r="U803" i="1" a="1"/>
  <c r="U803" i="1" s="1"/>
  <c r="U804" i="1" a="1"/>
  <c r="U804" i="1" s="1"/>
  <c r="U805" i="1" a="1"/>
  <c r="U805" i="1" s="1"/>
  <c r="U806" i="1" a="1"/>
  <c r="U806" i="1" s="1"/>
  <c r="U807" i="1" a="1"/>
  <c r="U807" i="1" s="1"/>
  <c r="U808" i="1" a="1"/>
  <c r="U808" i="1" s="1"/>
  <c r="U809" i="1" a="1"/>
  <c r="U809" i="1" s="1"/>
  <c r="U810" i="1" a="1"/>
  <c r="U810" i="1" s="1"/>
  <c r="U811" i="1" a="1"/>
  <c r="U811" i="1" s="1"/>
  <c r="U812" i="1" a="1"/>
  <c r="U812" i="1" s="1"/>
  <c r="U813" i="1" a="1"/>
  <c r="U813" i="1" s="1"/>
  <c r="U814" i="1" a="1"/>
  <c r="U814" i="1" s="1"/>
  <c r="U815" i="1" a="1"/>
  <c r="U815" i="1" s="1"/>
  <c r="U816" i="1" a="1"/>
  <c r="U816" i="1" s="1"/>
  <c r="U817" i="1" a="1"/>
  <c r="U817" i="1" s="1"/>
  <c r="U818" i="1" a="1"/>
  <c r="U818" i="1" s="1"/>
  <c r="U819" i="1" a="1"/>
  <c r="U819" i="1" s="1"/>
  <c r="U820" i="1" a="1"/>
  <c r="U820" i="1" s="1"/>
  <c r="U821" i="1" a="1"/>
  <c r="U821" i="1" s="1"/>
  <c r="U822" i="1" a="1"/>
  <c r="U822" i="1" s="1"/>
  <c r="U823" i="1" a="1"/>
  <c r="U823" i="1" s="1"/>
  <c r="U824" i="1" a="1"/>
  <c r="U824" i="1" s="1"/>
  <c r="U825" i="1" a="1"/>
  <c r="U825" i="1" s="1"/>
  <c r="U826" i="1" a="1"/>
  <c r="U826" i="1" s="1"/>
  <c r="U827" i="1" a="1"/>
  <c r="U827" i="1" s="1"/>
  <c r="U828" i="1" a="1"/>
  <c r="U828" i="1" s="1"/>
  <c r="U829" i="1" a="1"/>
  <c r="U829" i="1" s="1"/>
  <c r="U830" i="1" a="1"/>
  <c r="U830" i="1" s="1"/>
  <c r="U831" i="1" a="1"/>
  <c r="U831" i="1" s="1"/>
  <c r="U832" i="1" a="1"/>
  <c r="U832" i="1" s="1"/>
  <c r="U833" i="1" a="1"/>
  <c r="U833" i="1" s="1"/>
  <c r="U834" i="1" a="1"/>
  <c r="U834" i="1" s="1"/>
  <c r="U835" i="1" a="1"/>
  <c r="U835" i="1" s="1"/>
  <c r="U836" i="1" a="1"/>
  <c r="U836" i="1" s="1"/>
  <c r="U837" i="1" a="1"/>
  <c r="U837" i="1" s="1"/>
  <c r="U838" i="1" a="1"/>
  <c r="U838" i="1" s="1"/>
  <c r="U839" i="1" a="1"/>
  <c r="U839" i="1" s="1"/>
  <c r="U840" i="1" a="1"/>
  <c r="U840" i="1" s="1"/>
  <c r="U841" i="1" a="1"/>
  <c r="U841" i="1" s="1"/>
  <c r="U842" i="1" a="1"/>
  <c r="U842" i="1" s="1"/>
  <c r="U843" i="1" a="1"/>
  <c r="U843" i="1" s="1"/>
  <c r="U844" i="1" a="1"/>
  <c r="U844" i="1" s="1"/>
  <c r="U845" i="1" a="1"/>
  <c r="U845" i="1" s="1"/>
  <c r="U846" i="1" a="1"/>
  <c r="U846" i="1" s="1"/>
  <c r="U847" i="1" a="1"/>
  <c r="U847" i="1" s="1"/>
  <c r="U848" i="1" a="1"/>
  <c r="U848" i="1" s="1"/>
  <c r="U849" i="1" a="1"/>
  <c r="U849" i="1" s="1"/>
  <c r="U850" i="1" a="1"/>
  <c r="U850" i="1" s="1"/>
  <c r="U851" i="1" a="1"/>
  <c r="U851" i="1" s="1"/>
  <c r="U852" i="1" a="1"/>
  <c r="U852" i="1" s="1"/>
  <c r="U853" i="1" a="1"/>
  <c r="U853" i="1" s="1"/>
  <c r="U854" i="1" a="1"/>
  <c r="U854" i="1" s="1"/>
  <c r="U855" i="1" a="1"/>
  <c r="U855" i="1" s="1"/>
  <c r="U856" i="1" a="1"/>
  <c r="U856" i="1" s="1"/>
  <c r="U857" i="1" a="1"/>
  <c r="U857" i="1" s="1"/>
  <c r="U858" i="1" a="1"/>
  <c r="U858" i="1" s="1"/>
  <c r="U859" i="1" a="1"/>
  <c r="U859" i="1" s="1"/>
  <c r="U860" i="1" a="1"/>
  <c r="U860" i="1" s="1"/>
  <c r="U861" i="1" a="1"/>
  <c r="U861" i="1" s="1"/>
  <c r="U862" i="1" a="1"/>
  <c r="U862" i="1" s="1"/>
  <c r="U863" i="1" a="1"/>
  <c r="U863" i="1" s="1"/>
  <c r="U864" i="1" a="1"/>
  <c r="U864" i="1" s="1"/>
  <c r="U865" i="1" a="1"/>
  <c r="U865" i="1" s="1"/>
  <c r="U866" i="1" a="1"/>
  <c r="U866" i="1" s="1"/>
  <c r="U867" i="1" a="1"/>
  <c r="U867" i="1" s="1"/>
  <c r="U868" i="1" a="1"/>
  <c r="U868" i="1" s="1"/>
  <c r="U869" i="1" a="1"/>
  <c r="U869" i="1" s="1"/>
  <c r="U870" i="1" a="1"/>
  <c r="U870" i="1" s="1"/>
  <c r="U871" i="1" a="1"/>
  <c r="U871" i="1" s="1"/>
  <c r="U872" i="1" a="1"/>
  <c r="U872" i="1" s="1"/>
  <c r="U873" i="1" a="1"/>
  <c r="U873" i="1" s="1"/>
  <c r="U874" i="1" a="1"/>
  <c r="U874" i="1" s="1"/>
  <c r="U875" i="1" a="1"/>
  <c r="U875" i="1" s="1"/>
  <c r="U876" i="1" a="1"/>
  <c r="U876" i="1" s="1"/>
  <c r="U877" i="1" a="1"/>
  <c r="U877" i="1" s="1"/>
  <c r="U878" i="1" a="1"/>
  <c r="U878" i="1" s="1"/>
  <c r="U879" i="1" a="1"/>
  <c r="U879" i="1" s="1"/>
  <c r="U880" i="1" a="1"/>
  <c r="U880" i="1" s="1"/>
  <c r="U881" i="1" a="1"/>
  <c r="U881" i="1" s="1"/>
  <c r="U882" i="1" a="1"/>
  <c r="U882" i="1" s="1"/>
  <c r="U883" i="1" a="1"/>
  <c r="U883" i="1" s="1"/>
  <c r="U884" i="1" a="1"/>
  <c r="U884" i="1" s="1"/>
  <c r="U885" i="1" a="1"/>
  <c r="U885" i="1" s="1"/>
  <c r="U886" i="1" a="1"/>
  <c r="U886" i="1" s="1"/>
  <c r="U887" i="1" a="1"/>
  <c r="U887" i="1" s="1"/>
  <c r="U888" i="1" a="1"/>
  <c r="U888" i="1" s="1"/>
  <c r="U889" i="1" a="1"/>
  <c r="U889" i="1" s="1"/>
  <c r="U890" i="1" a="1"/>
  <c r="U890" i="1" s="1"/>
  <c r="U891" i="1" a="1"/>
  <c r="U891" i="1" s="1"/>
  <c r="U892" i="1" a="1"/>
  <c r="U892" i="1" s="1"/>
  <c r="U893" i="1" a="1"/>
  <c r="U893" i="1" s="1"/>
  <c r="U894" i="1" a="1"/>
  <c r="U894" i="1" s="1"/>
  <c r="U895" i="1" a="1"/>
  <c r="U895" i="1" s="1"/>
  <c r="U896" i="1" a="1"/>
  <c r="U896" i="1" s="1"/>
  <c r="U897" i="1" a="1"/>
  <c r="U897" i="1" s="1"/>
  <c r="U898" i="1" a="1"/>
  <c r="U898" i="1" s="1"/>
  <c r="U899" i="1" a="1"/>
  <c r="U899" i="1" s="1"/>
  <c r="U900" i="1" a="1"/>
  <c r="U900" i="1" s="1"/>
  <c r="U901" i="1" a="1"/>
  <c r="U901" i="1" s="1"/>
  <c r="U902" i="1" a="1"/>
  <c r="U902" i="1" s="1"/>
  <c r="U903" i="1" a="1"/>
  <c r="U903" i="1" s="1"/>
  <c r="U904" i="1" a="1"/>
  <c r="U904" i="1" s="1"/>
  <c r="U905" i="1" a="1"/>
  <c r="U905" i="1" s="1"/>
  <c r="U906" i="1" a="1"/>
  <c r="U906" i="1" s="1"/>
  <c r="U907" i="1" a="1"/>
  <c r="U907" i="1" s="1"/>
  <c r="U908" i="1" a="1"/>
  <c r="U908" i="1" s="1"/>
  <c r="U909" i="1" a="1"/>
  <c r="U909" i="1" s="1"/>
  <c r="U910" i="1" a="1"/>
  <c r="U910" i="1" s="1"/>
  <c r="U911" i="1" a="1"/>
  <c r="U911" i="1" s="1"/>
  <c r="U912" i="1" a="1"/>
  <c r="U912" i="1" s="1"/>
  <c r="U913" i="1" a="1"/>
  <c r="U913" i="1" s="1"/>
  <c r="U914" i="1" a="1"/>
  <c r="U914" i="1" s="1"/>
  <c r="U915" i="1" a="1"/>
  <c r="U915" i="1" s="1"/>
  <c r="U916" i="1" a="1"/>
  <c r="U916" i="1" s="1"/>
  <c r="U917" i="1" a="1"/>
  <c r="U917" i="1" s="1"/>
  <c r="U918" i="1" a="1"/>
  <c r="U918" i="1" s="1"/>
  <c r="U919" i="1" a="1"/>
  <c r="U919" i="1" s="1"/>
  <c r="U920" i="1" a="1"/>
  <c r="U920" i="1" s="1"/>
  <c r="U921" i="1" a="1"/>
  <c r="U921" i="1" s="1"/>
  <c r="U922" i="1" a="1"/>
  <c r="U922" i="1" s="1"/>
  <c r="U923" i="1" a="1"/>
  <c r="U923" i="1" s="1"/>
  <c r="U924" i="1" a="1"/>
  <c r="U924" i="1" s="1"/>
  <c r="U925" i="1" a="1"/>
  <c r="U925" i="1" s="1"/>
  <c r="U926" i="1" a="1"/>
  <c r="U926" i="1" s="1"/>
  <c r="U927" i="1" a="1"/>
  <c r="U927" i="1" s="1"/>
  <c r="U928" i="1" a="1"/>
  <c r="U928" i="1" s="1"/>
  <c r="U929" i="1" a="1"/>
  <c r="U929" i="1" s="1"/>
  <c r="U930" i="1" a="1"/>
  <c r="U930" i="1" s="1"/>
  <c r="U931" i="1" a="1"/>
  <c r="U931" i="1" s="1"/>
  <c r="U932" i="1" a="1"/>
  <c r="U932" i="1" s="1"/>
  <c r="U933" i="1" a="1"/>
  <c r="U933" i="1" s="1"/>
  <c r="U934" i="1" a="1"/>
  <c r="U934" i="1" s="1"/>
  <c r="U935" i="1" a="1"/>
  <c r="U935" i="1" s="1"/>
  <c r="U936" i="1" a="1"/>
  <c r="U936" i="1" s="1"/>
  <c r="U937" i="1" a="1"/>
  <c r="U937" i="1" s="1"/>
  <c r="U938" i="1" a="1"/>
  <c r="U938" i="1" s="1"/>
  <c r="U939" i="1" a="1"/>
  <c r="U939" i="1" s="1"/>
  <c r="U940" i="1" a="1"/>
  <c r="U940" i="1" s="1"/>
  <c r="U941" i="1" a="1"/>
  <c r="U941" i="1" s="1"/>
  <c r="U942" i="1" a="1"/>
  <c r="U942" i="1" s="1"/>
  <c r="U943" i="1" a="1"/>
  <c r="U943" i="1" s="1"/>
  <c r="U944" i="1" a="1"/>
  <c r="U944" i="1" s="1"/>
  <c r="U945" i="1" a="1"/>
  <c r="U945" i="1" s="1"/>
  <c r="U946" i="1" a="1"/>
  <c r="U946" i="1" s="1"/>
  <c r="U947" i="1" a="1"/>
  <c r="U947" i="1" s="1"/>
  <c r="U948" i="1" a="1"/>
  <c r="U948" i="1" s="1"/>
  <c r="U949" i="1" a="1"/>
  <c r="U949" i="1" s="1"/>
  <c r="U950" i="1" a="1"/>
  <c r="U950" i="1" s="1"/>
  <c r="U951" i="1" a="1"/>
  <c r="U951" i="1" s="1"/>
  <c r="U952" i="1" a="1"/>
  <c r="U952" i="1" s="1"/>
  <c r="U953" i="1" a="1"/>
  <c r="U953" i="1" s="1"/>
  <c r="U954" i="1" a="1"/>
  <c r="U954" i="1" s="1"/>
  <c r="U955" i="1" a="1"/>
  <c r="U955" i="1" s="1"/>
  <c r="U956" i="1" a="1"/>
  <c r="U956" i="1" s="1"/>
  <c r="U957" i="1" a="1"/>
  <c r="U957" i="1" s="1"/>
  <c r="U958" i="1" a="1"/>
  <c r="U958" i="1" s="1"/>
  <c r="U959" i="1" a="1"/>
  <c r="U959" i="1" s="1"/>
  <c r="U960" i="1" a="1"/>
  <c r="U960" i="1" s="1"/>
  <c r="U961" i="1" a="1"/>
  <c r="U961" i="1" s="1"/>
  <c r="U962" i="1" a="1"/>
  <c r="U962" i="1" s="1"/>
  <c r="U963" i="1" a="1"/>
  <c r="U963" i="1" s="1"/>
  <c r="U964" i="1" a="1"/>
  <c r="U964" i="1" s="1"/>
  <c r="U965" i="1" a="1"/>
  <c r="U965" i="1" s="1"/>
  <c r="U966" i="1" a="1"/>
  <c r="U966" i="1" s="1"/>
  <c r="U967" i="1" a="1"/>
  <c r="U967" i="1" s="1"/>
  <c r="U968" i="1" a="1"/>
  <c r="U968" i="1" s="1"/>
  <c r="U969" i="1" a="1"/>
  <c r="U969" i="1" s="1"/>
  <c r="U970" i="1" a="1"/>
  <c r="U970" i="1" s="1"/>
  <c r="U971" i="1" a="1"/>
  <c r="U971" i="1" s="1"/>
  <c r="U972" i="1" a="1"/>
  <c r="U972" i="1" s="1"/>
  <c r="U973" i="1" a="1"/>
  <c r="U973" i="1" s="1"/>
  <c r="U974" i="1" a="1"/>
  <c r="U974" i="1" s="1"/>
  <c r="U975" i="1" a="1"/>
  <c r="U975" i="1" s="1"/>
  <c r="U976" i="1" a="1"/>
  <c r="U976" i="1" s="1"/>
  <c r="U977" i="1" a="1"/>
  <c r="U977" i="1" s="1"/>
  <c r="U978" i="1" a="1"/>
  <c r="U978" i="1" s="1"/>
  <c r="U979" i="1" a="1"/>
  <c r="U979" i="1" s="1"/>
  <c r="U980" i="1" a="1"/>
  <c r="U980" i="1" s="1"/>
  <c r="U981" i="1" a="1"/>
  <c r="U981" i="1" s="1"/>
  <c r="U982" i="1" a="1"/>
  <c r="U982" i="1" s="1"/>
  <c r="U983" i="1" a="1"/>
  <c r="U983" i="1" s="1"/>
  <c r="U984" i="1" a="1"/>
  <c r="U984" i="1" s="1"/>
  <c r="U985" i="1" a="1"/>
  <c r="U985" i="1" s="1"/>
  <c r="U986" i="1" a="1"/>
  <c r="U986" i="1" s="1"/>
  <c r="U987" i="1" a="1"/>
  <c r="U987" i="1" s="1"/>
  <c r="U988" i="1" a="1"/>
  <c r="U988" i="1" s="1"/>
  <c r="U989" i="1" a="1"/>
  <c r="U989" i="1" s="1"/>
  <c r="U990" i="1" a="1"/>
  <c r="U990" i="1" s="1"/>
  <c r="U991" i="1" a="1"/>
  <c r="U991" i="1" s="1"/>
  <c r="U992" i="1" a="1"/>
  <c r="U992" i="1" s="1"/>
  <c r="U993" i="1" a="1"/>
  <c r="U993" i="1" s="1"/>
  <c r="U994" i="1" a="1"/>
  <c r="U994" i="1" s="1"/>
  <c r="U995" i="1" a="1"/>
  <c r="U995" i="1" s="1"/>
  <c r="U996" i="1" a="1"/>
  <c r="U996" i="1" s="1"/>
  <c r="U997" i="1" a="1"/>
  <c r="U997" i="1" s="1"/>
  <c r="U998" i="1" a="1"/>
  <c r="U998" i="1" s="1"/>
  <c r="U999" i="1" a="1"/>
  <c r="U999" i="1" s="1"/>
  <c r="U1000" i="1" a="1"/>
  <c r="U1000" i="1" s="1"/>
  <c r="U1001" i="1" a="1"/>
  <c r="U1001" i="1" s="1"/>
  <c r="U2" i="1" a="1"/>
  <c r="U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O53" i="1"/>
  <c r="P53" i="1" s="1"/>
  <c r="Q53" i="1" s="1"/>
  <c r="O137" i="1"/>
  <c r="P137" i="1" s="1"/>
  <c r="Q137" i="1" s="1"/>
  <c r="O209" i="1"/>
  <c r="P209" i="1" s="1"/>
  <c r="Q209" i="1" s="1"/>
  <c r="O281" i="1"/>
  <c r="P281" i="1" s="1"/>
  <c r="Q281" i="1" s="1"/>
  <c r="O332" i="1"/>
  <c r="P332" i="1" s="1"/>
  <c r="Q332" i="1" s="1"/>
  <c r="O366" i="1"/>
  <c r="P366" i="1" s="1"/>
  <c r="Q366" i="1" s="1"/>
  <c r="O400" i="1"/>
  <c r="P400" i="1" s="1"/>
  <c r="Q400" i="1" s="1"/>
  <c r="O428" i="1"/>
  <c r="P428" i="1" s="1"/>
  <c r="Q428" i="1" s="1"/>
  <c r="O496" i="1"/>
  <c r="P496" i="1" s="1"/>
  <c r="Q496" i="1" s="1"/>
  <c r="O524" i="1"/>
  <c r="P524" i="1" s="1"/>
  <c r="Q524" i="1" s="1"/>
  <c r="O592" i="1"/>
  <c r="P592" i="1" s="1"/>
  <c r="Q592" i="1" s="1"/>
  <c r="O620" i="1"/>
  <c r="P620" i="1" s="1"/>
  <c r="Q620" i="1" s="1"/>
  <c r="O688" i="1"/>
  <c r="P688" i="1" s="1"/>
  <c r="Q688" i="1" s="1"/>
  <c r="O716" i="1"/>
  <c r="P716" i="1" s="1"/>
  <c r="Q716" i="1" s="1"/>
  <c r="O748" i="1"/>
  <c r="P748" i="1" s="1"/>
  <c r="Q748" i="1" s="1"/>
  <c r="O772" i="1"/>
  <c r="P772" i="1" s="1"/>
  <c r="Q772" i="1" s="1"/>
  <c r="O796" i="1"/>
  <c r="P796" i="1" s="1"/>
  <c r="Q796" i="1" s="1"/>
  <c r="O820" i="1"/>
  <c r="P820" i="1" s="1"/>
  <c r="Q820" i="1" s="1"/>
  <c r="O844" i="1"/>
  <c r="P844" i="1" s="1"/>
  <c r="Q844" i="1" s="1"/>
  <c r="O868" i="1"/>
  <c r="P868" i="1" s="1"/>
  <c r="Q868" i="1" s="1"/>
  <c r="O892" i="1"/>
  <c r="P892" i="1" s="1"/>
  <c r="Q892" i="1" s="1"/>
  <c r="O916" i="1"/>
  <c r="P916" i="1" s="1"/>
  <c r="Q916" i="1" s="1"/>
  <c r="O940" i="1"/>
  <c r="P940" i="1" s="1"/>
  <c r="Q940" i="1" s="1"/>
  <c r="O964" i="1"/>
  <c r="P964" i="1" s="1"/>
  <c r="Q964" i="1" s="1"/>
  <c r="O988" i="1"/>
  <c r="P988" i="1" s="1"/>
  <c r="Q988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I16" i="1"/>
  <c r="H3" i="1"/>
  <c r="H4" i="1"/>
  <c r="O4" i="1" s="1"/>
  <c r="P4" i="1" s="1"/>
  <c r="Q4" i="1" s="1"/>
  <c r="H5" i="1"/>
  <c r="O5" i="1" s="1"/>
  <c r="P5" i="1" s="1"/>
  <c r="Q5" i="1" s="1"/>
  <c r="H6" i="1"/>
  <c r="O6" i="1" s="1"/>
  <c r="P6" i="1" s="1"/>
  <c r="Q6" i="1" s="1"/>
  <c r="H7" i="1"/>
  <c r="O7" i="1" s="1"/>
  <c r="P7" i="1" s="1"/>
  <c r="Q7" i="1" s="1"/>
  <c r="H8" i="1"/>
  <c r="O8" i="1" s="1"/>
  <c r="P8" i="1" s="1"/>
  <c r="Q8" i="1" s="1"/>
  <c r="H9" i="1"/>
  <c r="O9" i="1" s="1"/>
  <c r="P9" i="1" s="1"/>
  <c r="Q9" i="1" s="1"/>
  <c r="H10" i="1"/>
  <c r="H11" i="1"/>
  <c r="O11" i="1" s="1"/>
  <c r="P11" i="1" s="1"/>
  <c r="Q11" i="1" s="1"/>
  <c r="H12" i="1"/>
  <c r="H13" i="1"/>
  <c r="O13" i="1" s="1"/>
  <c r="P13" i="1" s="1"/>
  <c r="Q13" i="1" s="1"/>
  <c r="H14" i="1"/>
  <c r="O14" i="1" s="1"/>
  <c r="P14" i="1" s="1"/>
  <c r="Q14" i="1" s="1"/>
  <c r="H15" i="1"/>
  <c r="H16" i="1"/>
  <c r="H17" i="1"/>
  <c r="H18" i="1"/>
  <c r="O18" i="1" s="1"/>
  <c r="P18" i="1" s="1"/>
  <c r="Q18" i="1" s="1"/>
  <c r="H19" i="1"/>
  <c r="O19" i="1" s="1"/>
  <c r="P19" i="1" s="1"/>
  <c r="Q19" i="1" s="1"/>
  <c r="H20" i="1"/>
  <c r="O20" i="1" s="1"/>
  <c r="P20" i="1" s="1"/>
  <c r="Q20" i="1" s="1"/>
  <c r="H21" i="1"/>
  <c r="O21" i="1" s="1"/>
  <c r="P21" i="1" s="1"/>
  <c r="Q21" i="1" s="1"/>
  <c r="H22" i="1"/>
  <c r="H23" i="1"/>
  <c r="O23" i="1" s="1"/>
  <c r="P23" i="1" s="1"/>
  <c r="Q23" i="1" s="1"/>
  <c r="H24" i="1"/>
  <c r="H25" i="1"/>
  <c r="O25" i="1" s="1"/>
  <c r="P25" i="1" s="1"/>
  <c r="Q25" i="1" s="1"/>
  <c r="H26" i="1"/>
  <c r="O26" i="1" s="1"/>
  <c r="P26" i="1" s="1"/>
  <c r="Q26" i="1" s="1"/>
  <c r="H27" i="1"/>
  <c r="H28" i="1"/>
  <c r="O28" i="1" s="1"/>
  <c r="P28" i="1" s="1"/>
  <c r="Q28" i="1" s="1"/>
  <c r="H29" i="1"/>
  <c r="H30" i="1"/>
  <c r="O30" i="1" s="1"/>
  <c r="P30" i="1" s="1"/>
  <c r="Q30" i="1" s="1"/>
  <c r="H31" i="1"/>
  <c r="O31" i="1" s="1"/>
  <c r="P31" i="1" s="1"/>
  <c r="Q31" i="1" s="1"/>
  <c r="H32" i="1"/>
  <c r="O32" i="1" s="1"/>
  <c r="P32" i="1" s="1"/>
  <c r="Q32" i="1" s="1"/>
  <c r="H33" i="1"/>
  <c r="O33" i="1" s="1"/>
  <c r="P33" i="1" s="1"/>
  <c r="Q33" i="1" s="1"/>
  <c r="H34" i="1"/>
  <c r="H35" i="1"/>
  <c r="O35" i="1" s="1"/>
  <c r="P35" i="1" s="1"/>
  <c r="Q35" i="1" s="1"/>
  <c r="H36" i="1"/>
  <c r="H37" i="1"/>
  <c r="O37" i="1" s="1"/>
  <c r="P37" i="1" s="1"/>
  <c r="Q37" i="1" s="1"/>
  <c r="H38" i="1"/>
  <c r="O38" i="1" s="1"/>
  <c r="P38" i="1" s="1"/>
  <c r="Q38" i="1" s="1"/>
  <c r="H39" i="1"/>
  <c r="H40" i="1"/>
  <c r="H41" i="1"/>
  <c r="H42" i="1"/>
  <c r="O42" i="1" s="1"/>
  <c r="P42" i="1" s="1"/>
  <c r="Q42" i="1" s="1"/>
  <c r="H43" i="1"/>
  <c r="O43" i="1" s="1"/>
  <c r="P43" i="1" s="1"/>
  <c r="Q43" i="1" s="1"/>
  <c r="H44" i="1"/>
  <c r="O44" i="1" s="1"/>
  <c r="P44" i="1" s="1"/>
  <c r="Q44" i="1" s="1"/>
  <c r="H45" i="1"/>
  <c r="O45" i="1" s="1"/>
  <c r="P45" i="1" s="1"/>
  <c r="Q45" i="1" s="1"/>
  <c r="H46" i="1"/>
  <c r="H47" i="1"/>
  <c r="O47" i="1" s="1"/>
  <c r="P47" i="1" s="1"/>
  <c r="Q47" i="1" s="1"/>
  <c r="H48" i="1"/>
  <c r="H49" i="1"/>
  <c r="O49" i="1" s="1"/>
  <c r="P49" i="1" s="1"/>
  <c r="Q49" i="1" s="1"/>
  <c r="H50" i="1"/>
  <c r="O50" i="1" s="1"/>
  <c r="P50" i="1" s="1"/>
  <c r="Q50" i="1" s="1"/>
  <c r="H51" i="1"/>
  <c r="H52" i="1"/>
  <c r="O52" i="1" s="1"/>
  <c r="P52" i="1" s="1"/>
  <c r="Q52" i="1" s="1"/>
  <c r="H53" i="1"/>
  <c r="H54" i="1"/>
  <c r="O54" i="1" s="1"/>
  <c r="P54" i="1" s="1"/>
  <c r="Q54" i="1" s="1"/>
  <c r="H55" i="1"/>
  <c r="O55" i="1" s="1"/>
  <c r="P55" i="1" s="1"/>
  <c r="Q55" i="1" s="1"/>
  <c r="H56" i="1"/>
  <c r="O56" i="1" s="1"/>
  <c r="P56" i="1" s="1"/>
  <c r="Q56" i="1" s="1"/>
  <c r="H57" i="1"/>
  <c r="O57" i="1" s="1"/>
  <c r="P57" i="1" s="1"/>
  <c r="Q57" i="1" s="1"/>
  <c r="H58" i="1"/>
  <c r="H59" i="1"/>
  <c r="O59" i="1" s="1"/>
  <c r="P59" i="1" s="1"/>
  <c r="Q59" i="1" s="1"/>
  <c r="H60" i="1"/>
  <c r="H61" i="1"/>
  <c r="O61" i="1" s="1"/>
  <c r="P61" i="1" s="1"/>
  <c r="Q61" i="1" s="1"/>
  <c r="H62" i="1"/>
  <c r="O62" i="1" s="1"/>
  <c r="P62" i="1" s="1"/>
  <c r="Q62" i="1" s="1"/>
  <c r="H63" i="1"/>
  <c r="H64" i="1"/>
  <c r="H65" i="1"/>
  <c r="H66" i="1"/>
  <c r="O66" i="1" s="1"/>
  <c r="P66" i="1" s="1"/>
  <c r="Q66" i="1" s="1"/>
  <c r="H67" i="1"/>
  <c r="O67" i="1" s="1"/>
  <c r="P67" i="1" s="1"/>
  <c r="Q67" i="1" s="1"/>
  <c r="H68" i="1"/>
  <c r="O68" i="1" s="1"/>
  <c r="P68" i="1" s="1"/>
  <c r="Q68" i="1" s="1"/>
  <c r="H69" i="1"/>
  <c r="O69" i="1" s="1"/>
  <c r="P69" i="1" s="1"/>
  <c r="Q69" i="1" s="1"/>
  <c r="H70" i="1"/>
  <c r="H71" i="1"/>
  <c r="O71" i="1" s="1"/>
  <c r="P71" i="1" s="1"/>
  <c r="Q71" i="1" s="1"/>
  <c r="H72" i="1"/>
  <c r="H73" i="1"/>
  <c r="O73" i="1" s="1"/>
  <c r="P73" i="1" s="1"/>
  <c r="Q73" i="1" s="1"/>
  <c r="H74" i="1"/>
  <c r="O74" i="1" s="1"/>
  <c r="P74" i="1" s="1"/>
  <c r="Q74" i="1" s="1"/>
  <c r="H75" i="1"/>
  <c r="H76" i="1"/>
  <c r="O76" i="1" s="1"/>
  <c r="P76" i="1" s="1"/>
  <c r="Q76" i="1" s="1"/>
  <c r="H77" i="1"/>
  <c r="H78" i="1"/>
  <c r="O78" i="1" s="1"/>
  <c r="P78" i="1" s="1"/>
  <c r="Q78" i="1" s="1"/>
  <c r="H79" i="1"/>
  <c r="O79" i="1" s="1"/>
  <c r="P79" i="1" s="1"/>
  <c r="Q79" i="1" s="1"/>
  <c r="H80" i="1"/>
  <c r="O80" i="1" s="1"/>
  <c r="P80" i="1" s="1"/>
  <c r="Q80" i="1" s="1"/>
  <c r="H81" i="1"/>
  <c r="O81" i="1" s="1"/>
  <c r="P81" i="1" s="1"/>
  <c r="Q81" i="1" s="1"/>
  <c r="H82" i="1"/>
  <c r="H83" i="1"/>
  <c r="O83" i="1" s="1"/>
  <c r="P83" i="1" s="1"/>
  <c r="Q83" i="1" s="1"/>
  <c r="H84" i="1"/>
  <c r="H85" i="1"/>
  <c r="O85" i="1" s="1"/>
  <c r="P85" i="1" s="1"/>
  <c r="Q85" i="1" s="1"/>
  <c r="H86" i="1"/>
  <c r="O86" i="1" s="1"/>
  <c r="P86" i="1" s="1"/>
  <c r="Q86" i="1" s="1"/>
  <c r="H87" i="1"/>
  <c r="H88" i="1"/>
  <c r="O88" i="1" s="1"/>
  <c r="P88" i="1" s="1"/>
  <c r="Q88" i="1" s="1"/>
  <c r="H89" i="1"/>
  <c r="O89" i="1" s="1"/>
  <c r="P89" i="1" s="1"/>
  <c r="Q89" i="1" s="1"/>
  <c r="H90" i="1"/>
  <c r="O90" i="1" s="1"/>
  <c r="P90" i="1" s="1"/>
  <c r="Q90" i="1" s="1"/>
  <c r="H91" i="1"/>
  <c r="O91" i="1" s="1"/>
  <c r="P91" i="1" s="1"/>
  <c r="Q91" i="1" s="1"/>
  <c r="H92" i="1"/>
  <c r="O92" i="1" s="1"/>
  <c r="P92" i="1" s="1"/>
  <c r="Q92" i="1" s="1"/>
  <c r="H93" i="1"/>
  <c r="O93" i="1" s="1"/>
  <c r="P93" i="1" s="1"/>
  <c r="Q93" i="1" s="1"/>
  <c r="H94" i="1"/>
  <c r="H95" i="1"/>
  <c r="O95" i="1" s="1"/>
  <c r="P95" i="1" s="1"/>
  <c r="Q95" i="1" s="1"/>
  <c r="H96" i="1"/>
  <c r="H97" i="1"/>
  <c r="O97" i="1" s="1"/>
  <c r="P97" i="1" s="1"/>
  <c r="Q97" i="1" s="1"/>
  <c r="H98" i="1"/>
  <c r="O98" i="1" s="1"/>
  <c r="P98" i="1" s="1"/>
  <c r="Q98" i="1" s="1"/>
  <c r="H99" i="1"/>
  <c r="H100" i="1"/>
  <c r="O100" i="1" s="1"/>
  <c r="P100" i="1" s="1"/>
  <c r="Q100" i="1" s="1"/>
  <c r="H101" i="1"/>
  <c r="O101" i="1" s="1"/>
  <c r="P101" i="1" s="1"/>
  <c r="Q101" i="1" s="1"/>
  <c r="H102" i="1"/>
  <c r="O102" i="1" s="1"/>
  <c r="P102" i="1" s="1"/>
  <c r="Q102" i="1" s="1"/>
  <c r="H103" i="1"/>
  <c r="O103" i="1" s="1"/>
  <c r="P103" i="1" s="1"/>
  <c r="Q103" i="1" s="1"/>
  <c r="H104" i="1"/>
  <c r="O104" i="1" s="1"/>
  <c r="P104" i="1" s="1"/>
  <c r="Q104" i="1" s="1"/>
  <c r="H105" i="1"/>
  <c r="O105" i="1" s="1"/>
  <c r="P105" i="1" s="1"/>
  <c r="Q105" i="1" s="1"/>
  <c r="H106" i="1"/>
  <c r="H107" i="1"/>
  <c r="O107" i="1" s="1"/>
  <c r="P107" i="1" s="1"/>
  <c r="Q107" i="1" s="1"/>
  <c r="H108" i="1"/>
  <c r="H109" i="1"/>
  <c r="O109" i="1" s="1"/>
  <c r="P109" i="1" s="1"/>
  <c r="Q109" i="1" s="1"/>
  <c r="H110" i="1"/>
  <c r="O110" i="1" s="1"/>
  <c r="P110" i="1" s="1"/>
  <c r="Q110" i="1" s="1"/>
  <c r="H111" i="1"/>
  <c r="H112" i="1"/>
  <c r="H113" i="1"/>
  <c r="H114" i="1"/>
  <c r="O114" i="1" s="1"/>
  <c r="P114" i="1" s="1"/>
  <c r="Q114" i="1" s="1"/>
  <c r="H115" i="1"/>
  <c r="O115" i="1" s="1"/>
  <c r="P115" i="1" s="1"/>
  <c r="Q115" i="1" s="1"/>
  <c r="H116" i="1"/>
  <c r="O116" i="1" s="1"/>
  <c r="P116" i="1" s="1"/>
  <c r="Q116" i="1" s="1"/>
  <c r="H117" i="1"/>
  <c r="O117" i="1" s="1"/>
  <c r="P117" i="1" s="1"/>
  <c r="Q117" i="1" s="1"/>
  <c r="H118" i="1"/>
  <c r="H119" i="1"/>
  <c r="O119" i="1" s="1"/>
  <c r="P119" i="1" s="1"/>
  <c r="Q119" i="1" s="1"/>
  <c r="H120" i="1"/>
  <c r="I120" i="1" s="1"/>
  <c r="H121" i="1"/>
  <c r="O121" i="1" s="1"/>
  <c r="P121" i="1" s="1"/>
  <c r="Q121" i="1" s="1"/>
  <c r="H122" i="1"/>
  <c r="O122" i="1" s="1"/>
  <c r="P122" i="1" s="1"/>
  <c r="Q122" i="1" s="1"/>
  <c r="H123" i="1"/>
  <c r="H124" i="1"/>
  <c r="H125" i="1"/>
  <c r="H126" i="1"/>
  <c r="O126" i="1" s="1"/>
  <c r="P126" i="1" s="1"/>
  <c r="Q126" i="1" s="1"/>
  <c r="H127" i="1"/>
  <c r="O127" i="1" s="1"/>
  <c r="P127" i="1" s="1"/>
  <c r="Q127" i="1" s="1"/>
  <c r="H128" i="1"/>
  <c r="O128" i="1" s="1"/>
  <c r="P128" i="1" s="1"/>
  <c r="Q128" i="1" s="1"/>
  <c r="H129" i="1"/>
  <c r="O129" i="1" s="1"/>
  <c r="P129" i="1" s="1"/>
  <c r="Q129" i="1" s="1"/>
  <c r="H130" i="1"/>
  <c r="H131" i="1"/>
  <c r="O131" i="1" s="1"/>
  <c r="P131" i="1" s="1"/>
  <c r="Q131" i="1" s="1"/>
  <c r="H132" i="1"/>
  <c r="I132" i="1" s="1"/>
  <c r="H133" i="1"/>
  <c r="O133" i="1" s="1"/>
  <c r="P133" i="1" s="1"/>
  <c r="Q133" i="1" s="1"/>
  <c r="H134" i="1"/>
  <c r="O134" i="1" s="1"/>
  <c r="P134" i="1" s="1"/>
  <c r="Q134" i="1" s="1"/>
  <c r="H135" i="1"/>
  <c r="H136" i="1"/>
  <c r="O136" i="1" s="1"/>
  <c r="P136" i="1" s="1"/>
  <c r="Q136" i="1" s="1"/>
  <c r="H137" i="1"/>
  <c r="H138" i="1"/>
  <c r="O138" i="1" s="1"/>
  <c r="P138" i="1" s="1"/>
  <c r="Q138" i="1" s="1"/>
  <c r="H139" i="1"/>
  <c r="O139" i="1" s="1"/>
  <c r="P139" i="1" s="1"/>
  <c r="Q139" i="1" s="1"/>
  <c r="H140" i="1"/>
  <c r="O140" i="1" s="1"/>
  <c r="P140" i="1" s="1"/>
  <c r="Q140" i="1" s="1"/>
  <c r="H141" i="1"/>
  <c r="O141" i="1" s="1"/>
  <c r="P141" i="1" s="1"/>
  <c r="Q141" i="1" s="1"/>
  <c r="H142" i="1"/>
  <c r="H143" i="1"/>
  <c r="O143" i="1" s="1"/>
  <c r="P143" i="1" s="1"/>
  <c r="Q143" i="1" s="1"/>
  <c r="H144" i="1"/>
  <c r="I144" i="1" s="1"/>
  <c r="H145" i="1"/>
  <c r="O145" i="1" s="1"/>
  <c r="P145" i="1" s="1"/>
  <c r="Q145" i="1" s="1"/>
  <c r="H146" i="1"/>
  <c r="O146" i="1" s="1"/>
  <c r="P146" i="1" s="1"/>
  <c r="Q146" i="1" s="1"/>
  <c r="H147" i="1"/>
  <c r="H148" i="1"/>
  <c r="H149" i="1"/>
  <c r="H150" i="1"/>
  <c r="O150" i="1" s="1"/>
  <c r="P150" i="1" s="1"/>
  <c r="Q150" i="1" s="1"/>
  <c r="H151" i="1"/>
  <c r="O151" i="1" s="1"/>
  <c r="P151" i="1" s="1"/>
  <c r="Q151" i="1" s="1"/>
  <c r="H152" i="1"/>
  <c r="O152" i="1" s="1"/>
  <c r="P152" i="1" s="1"/>
  <c r="Q152" i="1" s="1"/>
  <c r="H153" i="1"/>
  <c r="O153" i="1" s="1"/>
  <c r="P153" i="1" s="1"/>
  <c r="Q153" i="1" s="1"/>
  <c r="H154" i="1"/>
  <c r="H155" i="1"/>
  <c r="O155" i="1" s="1"/>
  <c r="P155" i="1" s="1"/>
  <c r="Q155" i="1" s="1"/>
  <c r="H156" i="1"/>
  <c r="I156" i="1" s="1"/>
  <c r="H157" i="1"/>
  <c r="O157" i="1" s="1"/>
  <c r="P157" i="1" s="1"/>
  <c r="Q157" i="1" s="1"/>
  <c r="H158" i="1"/>
  <c r="O158" i="1" s="1"/>
  <c r="P158" i="1" s="1"/>
  <c r="Q158" i="1" s="1"/>
  <c r="H159" i="1"/>
  <c r="H160" i="1"/>
  <c r="O160" i="1" s="1"/>
  <c r="P160" i="1" s="1"/>
  <c r="Q160" i="1" s="1"/>
  <c r="H161" i="1"/>
  <c r="H162" i="1"/>
  <c r="O162" i="1" s="1"/>
  <c r="P162" i="1" s="1"/>
  <c r="Q162" i="1" s="1"/>
  <c r="H163" i="1"/>
  <c r="O163" i="1" s="1"/>
  <c r="P163" i="1" s="1"/>
  <c r="Q163" i="1" s="1"/>
  <c r="H164" i="1"/>
  <c r="O164" i="1" s="1"/>
  <c r="P164" i="1" s="1"/>
  <c r="Q164" i="1" s="1"/>
  <c r="H165" i="1"/>
  <c r="O165" i="1" s="1"/>
  <c r="P165" i="1" s="1"/>
  <c r="Q165" i="1" s="1"/>
  <c r="H166" i="1"/>
  <c r="H167" i="1"/>
  <c r="O167" i="1" s="1"/>
  <c r="P167" i="1" s="1"/>
  <c r="Q167" i="1" s="1"/>
  <c r="H168" i="1"/>
  <c r="I168" i="1" s="1"/>
  <c r="H169" i="1"/>
  <c r="O169" i="1" s="1"/>
  <c r="P169" i="1" s="1"/>
  <c r="Q169" i="1" s="1"/>
  <c r="H170" i="1"/>
  <c r="O170" i="1" s="1"/>
  <c r="P170" i="1" s="1"/>
  <c r="Q170" i="1" s="1"/>
  <c r="H171" i="1"/>
  <c r="H172" i="1"/>
  <c r="H173" i="1"/>
  <c r="O173" i="1" s="1"/>
  <c r="P173" i="1" s="1"/>
  <c r="Q173" i="1" s="1"/>
  <c r="H174" i="1"/>
  <c r="O174" i="1" s="1"/>
  <c r="P174" i="1" s="1"/>
  <c r="Q174" i="1" s="1"/>
  <c r="H175" i="1"/>
  <c r="O175" i="1" s="1"/>
  <c r="P175" i="1" s="1"/>
  <c r="Q175" i="1" s="1"/>
  <c r="H176" i="1"/>
  <c r="O176" i="1" s="1"/>
  <c r="P176" i="1" s="1"/>
  <c r="Q176" i="1" s="1"/>
  <c r="H177" i="1"/>
  <c r="O177" i="1" s="1"/>
  <c r="P177" i="1" s="1"/>
  <c r="Q177" i="1" s="1"/>
  <c r="H178" i="1"/>
  <c r="H179" i="1"/>
  <c r="O179" i="1" s="1"/>
  <c r="P179" i="1" s="1"/>
  <c r="Q179" i="1" s="1"/>
  <c r="H180" i="1"/>
  <c r="I180" i="1" s="1"/>
  <c r="H181" i="1"/>
  <c r="O181" i="1" s="1"/>
  <c r="P181" i="1" s="1"/>
  <c r="Q181" i="1" s="1"/>
  <c r="H182" i="1"/>
  <c r="O182" i="1" s="1"/>
  <c r="P182" i="1" s="1"/>
  <c r="Q182" i="1" s="1"/>
  <c r="H183" i="1"/>
  <c r="H184" i="1"/>
  <c r="H185" i="1"/>
  <c r="H186" i="1"/>
  <c r="O186" i="1" s="1"/>
  <c r="P186" i="1" s="1"/>
  <c r="Q186" i="1" s="1"/>
  <c r="H187" i="1"/>
  <c r="O187" i="1" s="1"/>
  <c r="P187" i="1" s="1"/>
  <c r="Q187" i="1" s="1"/>
  <c r="H188" i="1"/>
  <c r="O188" i="1" s="1"/>
  <c r="P188" i="1" s="1"/>
  <c r="Q188" i="1" s="1"/>
  <c r="H189" i="1"/>
  <c r="O189" i="1" s="1"/>
  <c r="P189" i="1" s="1"/>
  <c r="Q189" i="1" s="1"/>
  <c r="H190" i="1"/>
  <c r="O190" i="1" s="1"/>
  <c r="P190" i="1" s="1"/>
  <c r="Q190" i="1" s="1"/>
  <c r="H191" i="1"/>
  <c r="O191" i="1" s="1"/>
  <c r="P191" i="1" s="1"/>
  <c r="Q191" i="1" s="1"/>
  <c r="H192" i="1"/>
  <c r="I192" i="1" s="1"/>
  <c r="H193" i="1"/>
  <c r="O193" i="1" s="1"/>
  <c r="P193" i="1" s="1"/>
  <c r="Q193" i="1" s="1"/>
  <c r="H194" i="1"/>
  <c r="O194" i="1" s="1"/>
  <c r="P194" i="1" s="1"/>
  <c r="Q194" i="1" s="1"/>
  <c r="H195" i="1"/>
  <c r="H196" i="1"/>
  <c r="H197" i="1"/>
  <c r="H198" i="1"/>
  <c r="O198" i="1" s="1"/>
  <c r="P198" i="1" s="1"/>
  <c r="Q198" i="1" s="1"/>
  <c r="H199" i="1"/>
  <c r="O199" i="1" s="1"/>
  <c r="P199" i="1" s="1"/>
  <c r="Q199" i="1" s="1"/>
  <c r="H200" i="1"/>
  <c r="O200" i="1" s="1"/>
  <c r="P200" i="1" s="1"/>
  <c r="Q200" i="1" s="1"/>
  <c r="H201" i="1"/>
  <c r="O201" i="1" s="1"/>
  <c r="P201" i="1" s="1"/>
  <c r="Q201" i="1" s="1"/>
  <c r="H202" i="1"/>
  <c r="O202" i="1" s="1"/>
  <c r="P202" i="1" s="1"/>
  <c r="Q202" i="1" s="1"/>
  <c r="H203" i="1"/>
  <c r="O203" i="1" s="1"/>
  <c r="P203" i="1" s="1"/>
  <c r="Q203" i="1" s="1"/>
  <c r="H204" i="1"/>
  <c r="I204" i="1" s="1"/>
  <c r="H205" i="1"/>
  <c r="O205" i="1" s="1"/>
  <c r="P205" i="1" s="1"/>
  <c r="Q205" i="1" s="1"/>
  <c r="H206" i="1"/>
  <c r="O206" i="1" s="1"/>
  <c r="P206" i="1" s="1"/>
  <c r="Q206" i="1" s="1"/>
  <c r="H207" i="1"/>
  <c r="H208" i="1"/>
  <c r="H209" i="1"/>
  <c r="H210" i="1"/>
  <c r="O210" i="1" s="1"/>
  <c r="P210" i="1" s="1"/>
  <c r="Q210" i="1" s="1"/>
  <c r="H211" i="1"/>
  <c r="O211" i="1" s="1"/>
  <c r="P211" i="1" s="1"/>
  <c r="Q211" i="1" s="1"/>
  <c r="H212" i="1"/>
  <c r="O212" i="1" s="1"/>
  <c r="P212" i="1" s="1"/>
  <c r="Q212" i="1" s="1"/>
  <c r="H213" i="1"/>
  <c r="O213" i="1" s="1"/>
  <c r="P213" i="1" s="1"/>
  <c r="Q213" i="1" s="1"/>
  <c r="H214" i="1"/>
  <c r="O214" i="1" s="1"/>
  <c r="P214" i="1" s="1"/>
  <c r="Q214" i="1" s="1"/>
  <c r="H215" i="1"/>
  <c r="O215" i="1" s="1"/>
  <c r="P215" i="1" s="1"/>
  <c r="Q215" i="1" s="1"/>
  <c r="H216" i="1"/>
  <c r="I216" i="1" s="1"/>
  <c r="H217" i="1"/>
  <c r="O217" i="1" s="1"/>
  <c r="P217" i="1" s="1"/>
  <c r="Q217" i="1" s="1"/>
  <c r="H218" i="1"/>
  <c r="O218" i="1" s="1"/>
  <c r="P218" i="1" s="1"/>
  <c r="Q218" i="1" s="1"/>
  <c r="H219" i="1"/>
  <c r="H220" i="1"/>
  <c r="H221" i="1"/>
  <c r="H222" i="1"/>
  <c r="O222" i="1" s="1"/>
  <c r="P222" i="1" s="1"/>
  <c r="Q222" i="1" s="1"/>
  <c r="H223" i="1"/>
  <c r="O223" i="1" s="1"/>
  <c r="P223" i="1" s="1"/>
  <c r="Q223" i="1" s="1"/>
  <c r="H224" i="1"/>
  <c r="O224" i="1" s="1"/>
  <c r="P224" i="1" s="1"/>
  <c r="Q224" i="1" s="1"/>
  <c r="H225" i="1"/>
  <c r="O225" i="1" s="1"/>
  <c r="P225" i="1" s="1"/>
  <c r="Q225" i="1" s="1"/>
  <c r="H226" i="1"/>
  <c r="O226" i="1" s="1"/>
  <c r="P226" i="1" s="1"/>
  <c r="Q226" i="1" s="1"/>
  <c r="H227" i="1"/>
  <c r="O227" i="1" s="1"/>
  <c r="P227" i="1" s="1"/>
  <c r="Q227" i="1" s="1"/>
  <c r="H228" i="1"/>
  <c r="I228" i="1" s="1"/>
  <c r="H229" i="1"/>
  <c r="O229" i="1" s="1"/>
  <c r="P229" i="1" s="1"/>
  <c r="Q229" i="1" s="1"/>
  <c r="H230" i="1"/>
  <c r="O230" i="1" s="1"/>
  <c r="P230" i="1" s="1"/>
  <c r="Q230" i="1" s="1"/>
  <c r="H231" i="1"/>
  <c r="H232" i="1"/>
  <c r="H233" i="1"/>
  <c r="H234" i="1"/>
  <c r="O234" i="1" s="1"/>
  <c r="P234" i="1" s="1"/>
  <c r="Q234" i="1" s="1"/>
  <c r="H235" i="1"/>
  <c r="O235" i="1" s="1"/>
  <c r="P235" i="1" s="1"/>
  <c r="Q235" i="1" s="1"/>
  <c r="H236" i="1"/>
  <c r="O236" i="1" s="1"/>
  <c r="P236" i="1" s="1"/>
  <c r="Q236" i="1" s="1"/>
  <c r="H237" i="1"/>
  <c r="H238" i="1"/>
  <c r="O238" i="1" s="1"/>
  <c r="P238" i="1" s="1"/>
  <c r="Q238" i="1" s="1"/>
  <c r="H239" i="1"/>
  <c r="O239" i="1" s="1"/>
  <c r="P239" i="1" s="1"/>
  <c r="Q239" i="1" s="1"/>
  <c r="H240" i="1"/>
  <c r="I240" i="1" s="1"/>
  <c r="H241" i="1"/>
  <c r="O241" i="1" s="1"/>
  <c r="P241" i="1" s="1"/>
  <c r="Q241" i="1" s="1"/>
  <c r="H242" i="1"/>
  <c r="O242" i="1" s="1"/>
  <c r="P242" i="1" s="1"/>
  <c r="Q242" i="1" s="1"/>
  <c r="H243" i="1"/>
  <c r="H244" i="1"/>
  <c r="H245" i="1"/>
  <c r="O245" i="1" s="1"/>
  <c r="P245" i="1" s="1"/>
  <c r="Q245" i="1" s="1"/>
  <c r="H246" i="1"/>
  <c r="O246" i="1" s="1"/>
  <c r="P246" i="1" s="1"/>
  <c r="Q246" i="1" s="1"/>
  <c r="H247" i="1"/>
  <c r="O247" i="1" s="1"/>
  <c r="P247" i="1" s="1"/>
  <c r="Q247" i="1" s="1"/>
  <c r="H248" i="1"/>
  <c r="O248" i="1" s="1"/>
  <c r="P248" i="1" s="1"/>
  <c r="Q248" i="1" s="1"/>
  <c r="H249" i="1"/>
  <c r="O249" i="1" s="1"/>
  <c r="P249" i="1" s="1"/>
  <c r="Q249" i="1" s="1"/>
  <c r="H250" i="1"/>
  <c r="O250" i="1" s="1"/>
  <c r="P250" i="1" s="1"/>
  <c r="Q250" i="1" s="1"/>
  <c r="H251" i="1"/>
  <c r="O251" i="1" s="1"/>
  <c r="P251" i="1" s="1"/>
  <c r="Q251" i="1" s="1"/>
  <c r="H252" i="1"/>
  <c r="I252" i="1" s="1"/>
  <c r="H253" i="1"/>
  <c r="O253" i="1" s="1"/>
  <c r="P253" i="1" s="1"/>
  <c r="Q253" i="1" s="1"/>
  <c r="H254" i="1"/>
  <c r="O254" i="1" s="1"/>
  <c r="P254" i="1" s="1"/>
  <c r="Q254" i="1" s="1"/>
  <c r="H255" i="1"/>
  <c r="H256" i="1"/>
  <c r="H257" i="1"/>
  <c r="H258" i="1"/>
  <c r="O258" i="1" s="1"/>
  <c r="P258" i="1" s="1"/>
  <c r="Q258" i="1" s="1"/>
  <c r="H259" i="1"/>
  <c r="O259" i="1" s="1"/>
  <c r="P259" i="1" s="1"/>
  <c r="Q259" i="1" s="1"/>
  <c r="H260" i="1"/>
  <c r="O260" i="1" s="1"/>
  <c r="P260" i="1" s="1"/>
  <c r="Q260" i="1" s="1"/>
  <c r="H261" i="1"/>
  <c r="O261" i="1" s="1"/>
  <c r="P261" i="1" s="1"/>
  <c r="Q261" i="1" s="1"/>
  <c r="H262" i="1"/>
  <c r="O262" i="1" s="1"/>
  <c r="P262" i="1" s="1"/>
  <c r="Q262" i="1" s="1"/>
  <c r="H263" i="1"/>
  <c r="O263" i="1" s="1"/>
  <c r="P263" i="1" s="1"/>
  <c r="Q263" i="1" s="1"/>
  <c r="H264" i="1"/>
  <c r="I264" i="1" s="1"/>
  <c r="H265" i="1"/>
  <c r="O265" i="1" s="1"/>
  <c r="P265" i="1" s="1"/>
  <c r="Q265" i="1" s="1"/>
  <c r="H266" i="1"/>
  <c r="O266" i="1" s="1"/>
  <c r="P266" i="1" s="1"/>
  <c r="Q266" i="1" s="1"/>
  <c r="H267" i="1"/>
  <c r="O267" i="1" s="1"/>
  <c r="P267" i="1" s="1"/>
  <c r="Q267" i="1" s="1"/>
  <c r="H268" i="1"/>
  <c r="H269" i="1"/>
  <c r="H270" i="1"/>
  <c r="O270" i="1" s="1"/>
  <c r="P270" i="1" s="1"/>
  <c r="Q270" i="1" s="1"/>
  <c r="H271" i="1"/>
  <c r="O271" i="1" s="1"/>
  <c r="P271" i="1" s="1"/>
  <c r="Q271" i="1" s="1"/>
  <c r="H272" i="1"/>
  <c r="O272" i="1" s="1"/>
  <c r="P272" i="1" s="1"/>
  <c r="Q272" i="1" s="1"/>
  <c r="H273" i="1"/>
  <c r="H274" i="1"/>
  <c r="O274" i="1" s="1"/>
  <c r="P274" i="1" s="1"/>
  <c r="Q274" i="1" s="1"/>
  <c r="H275" i="1"/>
  <c r="O275" i="1" s="1"/>
  <c r="P275" i="1" s="1"/>
  <c r="Q275" i="1" s="1"/>
  <c r="H276" i="1"/>
  <c r="I276" i="1" s="1"/>
  <c r="H277" i="1"/>
  <c r="O277" i="1" s="1"/>
  <c r="P277" i="1" s="1"/>
  <c r="Q277" i="1" s="1"/>
  <c r="H278" i="1"/>
  <c r="O278" i="1" s="1"/>
  <c r="P278" i="1" s="1"/>
  <c r="Q278" i="1" s="1"/>
  <c r="H279" i="1"/>
  <c r="O279" i="1" s="1"/>
  <c r="P279" i="1" s="1"/>
  <c r="Q279" i="1" s="1"/>
  <c r="H280" i="1"/>
  <c r="H281" i="1"/>
  <c r="H282" i="1"/>
  <c r="O282" i="1" s="1"/>
  <c r="P282" i="1" s="1"/>
  <c r="Q282" i="1" s="1"/>
  <c r="H283" i="1"/>
  <c r="O283" i="1" s="1"/>
  <c r="P283" i="1" s="1"/>
  <c r="Q283" i="1" s="1"/>
  <c r="H284" i="1"/>
  <c r="O284" i="1" s="1"/>
  <c r="P284" i="1" s="1"/>
  <c r="Q284" i="1" s="1"/>
  <c r="H285" i="1"/>
  <c r="O285" i="1" s="1"/>
  <c r="P285" i="1" s="1"/>
  <c r="Q285" i="1" s="1"/>
  <c r="H286" i="1"/>
  <c r="O286" i="1" s="1"/>
  <c r="P286" i="1" s="1"/>
  <c r="Q286" i="1" s="1"/>
  <c r="H287" i="1"/>
  <c r="O287" i="1" s="1"/>
  <c r="P287" i="1" s="1"/>
  <c r="Q287" i="1" s="1"/>
  <c r="H288" i="1"/>
  <c r="I288" i="1" s="1"/>
  <c r="H289" i="1"/>
  <c r="O289" i="1" s="1"/>
  <c r="P289" i="1" s="1"/>
  <c r="Q289" i="1" s="1"/>
  <c r="H290" i="1"/>
  <c r="O290" i="1" s="1"/>
  <c r="P290" i="1" s="1"/>
  <c r="Q290" i="1" s="1"/>
  <c r="H291" i="1"/>
  <c r="O291" i="1" s="1"/>
  <c r="P291" i="1" s="1"/>
  <c r="Q291" i="1" s="1"/>
  <c r="H292" i="1"/>
  <c r="H293" i="1"/>
  <c r="H294" i="1"/>
  <c r="O294" i="1" s="1"/>
  <c r="P294" i="1" s="1"/>
  <c r="Q294" i="1" s="1"/>
  <c r="H295" i="1"/>
  <c r="O295" i="1" s="1"/>
  <c r="P295" i="1" s="1"/>
  <c r="Q295" i="1" s="1"/>
  <c r="H296" i="1"/>
  <c r="O296" i="1" s="1"/>
  <c r="P296" i="1" s="1"/>
  <c r="Q296" i="1" s="1"/>
  <c r="H297" i="1"/>
  <c r="O297" i="1" s="1"/>
  <c r="P297" i="1" s="1"/>
  <c r="Q297" i="1" s="1"/>
  <c r="H298" i="1"/>
  <c r="O298" i="1" s="1"/>
  <c r="P298" i="1" s="1"/>
  <c r="Q298" i="1" s="1"/>
  <c r="H299" i="1"/>
  <c r="O299" i="1" s="1"/>
  <c r="P299" i="1" s="1"/>
  <c r="Q299" i="1" s="1"/>
  <c r="H300" i="1"/>
  <c r="I300" i="1" s="1"/>
  <c r="H301" i="1"/>
  <c r="O301" i="1" s="1"/>
  <c r="P301" i="1" s="1"/>
  <c r="Q301" i="1" s="1"/>
  <c r="H302" i="1"/>
  <c r="O302" i="1" s="1"/>
  <c r="P302" i="1" s="1"/>
  <c r="Q302" i="1" s="1"/>
  <c r="H303" i="1"/>
  <c r="O303" i="1" s="1"/>
  <c r="P303" i="1" s="1"/>
  <c r="Q303" i="1" s="1"/>
  <c r="H304" i="1"/>
  <c r="H305" i="1"/>
  <c r="O305" i="1" s="1"/>
  <c r="P305" i="1" s="1"/>
  <c r="Q305" i="1" s="1"/>
  <c r="H306" i="1"/>
  <c r="O306" i="1" s="1"/>
  <c r="P306" i="1" s="1"/>
  <c r="Q306" i="1" s="1"/>
  <c r="H307" i="1"/>
  <c r="O307" i="1" s="1"/>
  <c r="P307" i="1" s="1"/>
  <c r="Q307" i="1" s="1"/>
  <c r="H308" i="1"/>
  <c r="O308" i="1" s="1"/>
  <c r="P308" i="1" s="1"/>
  <c r="Q308" i="1" s="1"/>
  <c r="H309" i="1"/>
  <c r="H310" i="1"/>
  <c r="O310" i="1" s="1"/>
  <c r="P310" i="1" s="1"/>
  <c r="Q310" i="1" s="1"/>
  <c r="H311" i="1"/>
  <c r="O311" i="1" s="1"/>
  <c r="P311" i="1" s="1"/>
  <c r="Q311" i="1" s="1"/>
  <c r="H312" i="1"/>
  <c r="I312" i="1" s="1"/>
  <c r="H313" i="1"/>
  <c r="O313" i="1" s="1"/>
  <c r="P313" i="1" s="1"/>
  <c r="Q313" i="1" s="1"/>
  <c r="H314" i="1"/>
  <c r="O314" i="1" s="1"/>
  <c r="P314" i="1" s="1"/>
  <c r="Q314" i="1" s="1"/>
  <c r="H315" i="1"/>
  <c r="O315" i="1" s="1"/>
  <c r="P315" i="1" s="1"/>
  <c r="Q315" i="1" s="1"/>
  <c r="H316" i="1"/>
  <c r="H317" i="1"/>
  <c r="O317" i="1" s="1"/>
  <c r="P317" i="1" s="1"/>
  <c r="Q317" i="1" s="1"/>
  <c r="H318" i="1"/>
  <c r="O318" i="1" s="1"/>
  <c r="P318" i="1" s="1"/>
  <c r="Q318" i="1" s="1"/>
  <c r="H319" i="1"/>
  <c r="O319" i="1" s="1"/>
  <c r="P319" i="1" s="1"/>
  <c r="Q319" i="1" s="1"/>
  <c r="H320" i="1"/>
  <c r="O320" i="1" s="1"/>
  <c r="P320" i="1" s="1"/>
  <c r="Q320" i="1" s="1"/>
  <c r="H321" i="1"/>
  <c r="O321" i="1" s="1"/>
  <c r="P321" i="1" s="1"/>
  <c r="Q321" i="1" s="1"/>
  <c r="H322" i="1"/>
  <c r="O322" i="1" s="1"/>
  <c r="P322" i="1" s="1"/>
  <c r="Q322" i="1" s="1"/>
  <c r="H323" i="1"/>
  <c r="O323" i="1" s="1"/>
  <c r="P323" i="1" s="1"/>
  <c r="Q323" i="1" s="1"/>
  <c r="H324" i="1"/>
  <c r="I324" i="1" s="1"/>
  <c r="H325" i="1"/>
  <c r="O325" i="1" s="1"/>
  <c r="P325" i="1" s="1"/>
  <c r="Q325" i="1" s="1"/>
  <c r="H326" i="1"/>
  <c r="O326" i="1" s="1"/>
  <c r="P326" i="1" s="1"/>
  <c r="Q326" i="1" s="1"/>
  <c r="H327" i="1"/>
  <c r="O327" i="1" s="1"/>
  <c r="P327" i="1" s="1"/>
  <c r="Q327" i="1" s="1"/>
  <c r="H328" i="1"/>
  <c r="O328" i="1" s="1"/>
  <c r="P328" i="1" s="1"/>
  <c r="Q328" i="1" s="1"/>
  <c r="H329" i="1"/>
  <c r="H330" i="1"/>
  <c r="O330" i="1" s="1"/>
  <c r="P330" i="1" s="1"/>
  <c r="Q330" i="1" s="1"/>
  <c r="H331" i="1"/>
  <c r="O331" i="1" s="1"/>
  <c r="P331" i="1" s="1"/>
  <c r="Q331" i="1" s="1"/>
  <c r="H332" i="1"/>
  <c r="H333" i="1"/>
  <c r="O333" i="1" s="1"/>
  <c r="P333" i="1" s="1"/>
  <c r="Q333" i="1" s="1"/>
  <c r="H334" i="1"/>
  <c r="O334" i="1" s="1"/>
  <c r="P334" i="1" s="1"/>
  <c r="Q334" i="1" s="1"/>
  <c r="H335" i="1"/>
  <c r="O335" i="1" s="1"/>
  <c r="P335" i="1" s="1"/>
  <c r="Q335" i="1" s="1"/>
  <c r="H336" i="1"/>
  <c r="I336" i="1" s="1"/>
  <c r="H337" i="1"/>
  <c r="O337" i="1" s="1"/>
  <c r="P337" i="1" s="1"/>
  <c r="Q337" i="1" s="1"/>
  <c r="H338" i="1"/>
  <c r="O338" i="1" s="1"/>
  <c r="P338" i="1" s="1"/>
  <c r="Q338" i="1" s="1"/>
  <c r="H339" i="1"/>
  <c r="O339" i="1" s="1"/>
  <c r="P339" i="1" s="1"/>
  <c r="Q339" i="1" s="1"/>
  <c r="H340" i="1"/>
  <c r="H341" i="1"/>
  <c r="H342" i="1"/>
  <c r="O342" i="1" s="1"/>
  <c r="P342" i="1" s="1"/>
  <c r="Q342" i="1" s="1"/>
  <c r="H343" i="1"/>
  <c r="O343" i="1" s="1"/>
  <c r="P343" i="1" s="1"/>
  <c r="Q343" i="1" s="1"/>
  <c r="H344" i="1"/>
  <c r="O344" i="1" s="1"/>
  <c r="P344" i="1" s="1"/>
  <c r="Q344" i="1" s="1"/>
  <c r="H345" i="1"/>
  <c r="I345" i="1" s="1"/>
  <c r="H346" i="1"/>
  <c r="O346" i="1" s="1"/>
  <c r="P346" i="1" s="1"/>
  <c r="Q346" i="1" s="1"/>
  <c r="H347" i="1"/>
  <c r="O347" i="1" s="1"/>
  <c r="P347" i="1" s="1"/>
  <c r="Q347" i="1" s="1"/>
  <c r="H348" i="1"/>
  <c r="I348" i="1" s="1"/>
  <c r="H349" i="1"/>
  <c r="O349" i="1" s="1"/>
  <c r="P349" i="1" s="1"/>
  <c r="Q349" i="1" s="1"/>
  <c r="H350" i="1"/>
  <c r="O350" i="1" s="1"/>
  <c r="P350" i="1" s="1"/>
  <c r="Q350" i="1" s="1"/>
  <c r="H351" i="1"/>
  <c r="O351" i="1" s="1"/>
  <c r="P351" i="1" s="1"/>
  <c r="Q351" i="1" s="1"/>
  <c r="H352" i="1"/>
  <c r="H353" i="1"/>
  <c r="O353" i="1" s="1"/>
  <c r="P353" i="1" s="1"/>
  <c r="Q353" i="1" s="1"/>
  <c r="H354" i="1"/>
  <c r="O354" i="1" s="1"/>
  <c r="P354" i="1" s="1"/>
  <c r="Q354" i="1" s="1"/>
  <c r="H355" i="1"/>
  <c r="O355" i="1" s="1"/>
  <c r="P355" i="1" s="1"/>
  <c r="Q355" i="1" s="1"/>
  <c r="H356" i="1"/>
  <c r="O356" i="1" s="1"/>
  <c r="P356" i="1" s="1"/>
  <c r="Q356" i="1" s="1"/>
  <c r="H357" i="1"/>
  <c r="O357" i="1" s="1"/>
  <c r="P357" i="1" s="1"/>
  <c r="Q357" i="1" s="1"/>
  <c r="H358" i="1"/>
  <c r="O358" i="1" s="1"/>
  <c r="P358" i="1" s="1"/>
  <c r="Q358" i="1" s="1"/>
  <c r="H359" i="1"/>
  <c r="O359" i="1" s="1"/>
  <c r="P359" i="1" s="1"/>
  <c r="Q359" i="1" s="1"/>
  <c r="H360" i="1"/>
  <c r="I360" i="1" s="1"/>
  <c r="H361" i="1"/>
  <c r="O361" i="1" s="1"/>
  <c r="P361" i="1" s="1"/>
  <c r="Q361" i="1" s="1"/>
  <c r="H362" i="1"/>
  <c r="O362" i="1" s="1"/>
  <c r="P362" i="1" s="1"/>
  <c r="Q362" i="1" s="1"/>
  <c r="H363" i="1"/>
  <c r="O363" i="1" s="1"/>
  <c r="P363" i="1" s="1"/>
  <c r="Q363" i="1" s="1"/>
  <c r="H364" i="1"/>
  <c r="O364" i="1" s="1"/>
  <c r="P364" i="1" s="1"/>
  <c r="Q364" i="1" s="1"/>
  <c r="H365" i="1"/>
  <c r="O365" i="1" s="1"/>
  <c r="P365" i="1" s="1"/>
  <c r="Q365" i="1" s="1"/>
  <c r="H366" i="1"/>
  <c r="H367" i="1"/>
  <c r="O367" i="1" s="1"/>
  <c r="P367" i="1" s="1"/>
  <c r="Q367" i="1" s="1"/>
  <c r="H368" i="1"/>
  <c r="O368" i="1" s="1"/>
  <c r="P368" i="1" s="1"/>
  <c r="Q368" i="1" s="1"/>
  <c r="H369" i="1"/>
  <c r="O369" i="1" s="1"/>
  <c r="P369" i="1" s="1"/>
  <c r="Q369" i="1" s="1"/>
  <c r="H370" i="1"/>
  <c r="O370" i="1" s="1"/>
  <c r="P370" i="1" s="1"/>
  <c r="Q370" i="1" s="1"/>
  <c r="H371" i="1"/>
  <c r="O371" i="1" s="1"/>
  <c r="P371" i="1" s="1"/>
  <c r="Q371" i="1" s="1"/>
  <c r="H372" i="1"/>
  <c r="I372" i="1" s="1"/>
  <c r="H373" i="1"/>
  <c r="O373" i="1" s="1"/>
  <c r="P373" i="1" s="1"/>
  <c r="Q373" i="1" s="1"/>
  <c r="H374" i="1"/>
  <c r="O374" i="1" s="1"/>
  <c r="P374" i="1" s="1"/>
  <c r="Q374" i="1" s="1"/>
  <c r="H375" i="1"/>
  <c r="O375" i="1" s="1"/>
  <c r="P375" i="1" s="1"/>
  <c r="Q375" i="1" s="1"/>
  <c r="H376" i="1"/>
  <c r="H377" i="1"/>
  <c r="O377" i="1" s="1"/>
  <c r="P377" i="1" s="1"/>
  <c r="Q377" i="1" s="1"/>
  <c r="H378" i="1"/>
  <c r="O378" i="1" s="1"/>
  <c r="P378" i="1" s="1"/>
  <c r="Q378" i="1" s="1"/>
  <c r="H379" i="1"/>
  <c r="O379" i="1" s="1"/>
  <c r="P379" i="1" s="1"/>
  <c r="Q379" i="1" s="1"/>
  <c r="H380" i="1"/>
  <c r="O380" i="1" s="1"/>
  <c r="P380" i="1" s="1"/>
  <c r="Q380" i="1" s="1"/>
  <c r="H381" i="1"/>
  <c r="I381" i="1" s="1"/>
  <c r="H382" i="1"/>
  <c r="O382" i="1" s="1"/>
  <c r="P382" i="1" s="1"/>
  <c r="Q382" i="1" s="1"/>
  <c r="H383" i="1"/>
  <c r="O383" i="1" s="1"/>
  <c r="P383" i="1" s="1"/>
  <c r="Q383" i="1" s="1"/>
  <c r="H384" i="1"/>
  <c r="I384" i="1" s="1"/>
  <c r="H385" i="1"/>
  <c r="O385" i="1" s="1"/>
  <c r="P385" i="1" s="1"/>
  <c r="Q385" i="1" s="1"/>
  <c r="H386" i="1"/>
  <c r="O386" i="1" s="1"/>
  <c r="P386" i="1" s="1"/>
  <c r="Q386" i="1" s="1"/>
  <c r="H387" i="1"/>
  <c r="O387" i="1" s="1"/>
  <c r="P387" i="1" s="1"/>
  <c r="Q387" i="1" s="1"/>
  <c r="H388" i="1"/>
  <c r="H389" i="1"/>
  <c r="O389" i="1" s="1"/>
  <c r="P389" i="1" s="1"/>
  <c r="Q389" i="1" s="1"/>
  <c r="H390" i="1"/>
  <c r="O390" i="1" s="1"/>
  <c r="P390" i="1" s="1"/>
  <c r="Q390" i="1" s="1"/>
  <c r="H391" i="1"/>
  <c r="O391" i="1" s="1"/>
  <c r="P391" i="1" s="1"/>
  <c r="Q391" i="1" s="1"/>
  <c r="H392" i="1"/>
  <c r="O392" i="1" s="1"/>
  <c r="P392" i="1" s="1"/>
  <c r="Q392" i="1" s="1"/>
  <c r="H393" i="1"/>
  <c r="O393" i="1" s="1"/>
  <c r="P393" i="1" s="1"/>
  <c r="Q393" i="1" s="1"/>
  <c r="H394" i="1"/>
  <c r="O394" i="1" s="1"/>
  <c r="P394" i="1" s="1"/>
  <c r="Q394" i="1" s="1"/>
  <c r="H395" i="1"/>
  <c r="O395" i="1" s="1"/>
  <c r="P395" i="1" s="1"/>
  <c r="Q395" i="1" s="1"/>
  <c r="H396" i="1"/>
  <c r="I396" i="1" s="1"/>
  <c r="H397" i="1"/>
  <c r="O397" i="1" s="1"/>
  <c r="P397" i="1" s="1"/>
  <c r="Q397" i="1" s="1"/>
  <c r="H398" i="1"/>
  <c r="O398" i="1" s="1"/>
  <c r="P398" i="1" s="1"/>
  <c r="Q398" i="1" s="1"/>
  <c r="H399" i="1"/>
  <c r="O399" i="1" s="1"/>
  <c r="P399" i="1" s="1"/>
  <c r="Q399" i="1" s="1"/>
  <c r="H400" i="1"/>
  <c r="H401" i="1"/>
  <c r="O401" i="1" s="1"/>
  <c r="P401" i="1" s="1"/>
  <c r="Q401" i="1" s="1"/>
  <c r="H402" i="1"/>
  <c r="O402" i="1" s="1"/>
  <c r="P402" i="1" s="1"/>
  <c r="Q402" i="1" s="1"/>
  <c r="H403" i="1"/>
  <c r="O403" i="1" s="1"/>
  <c r="P403" i="1" s="1"/>
  <c r="Q403" i="1" s="1"/>
  <c r="H404" i="1"/>
  <c r="O404" i="1" s="1"/>
  <c r="P404" i="1" s="1"/>
  <c r="Q404" i="1" s="1"/>
  <c r="H405" i="1"/>
  <c r="O405" i="1" s="1"/>
  <c r="P405" i="1" s="1"/>
  <c r="Q405" i="1" s="1"/>
  <c r="H406" i="1"/>
  <c r="O406" i="1" s="1"/>
  <c r="P406" i="1" s="1"/>
  <c r="Q406" i="1" s="1"/>
  <c r="H407" i="1"/>
  <c r="O407" i="1" s="1"/>
  <c r="P407" i="1" s="1"/>
  <c r="Q407" i="1" s="1"/>
  <c r="H408" i="1"/>
  <c r="I408" i="1" s="1"/>
  <c r="H409" i="1"/>
  <c r="O409" i="1" s="1"/>
  <c r="P409" i="1" s="1"/>
  <c r="Q409" i="1" s="1"/>
  <c r="H410" i="1"/>
  <c r="O410" i="1" s="1"/>
  <c r="P410" i="1" s="1"/>
  <c r="Q410" i="1" s="1"/>
  <c r="H411" i="1"/>
  <c r="O411" i="1" s="1"/>
  <c r="P411" i="1" s="1"/>
  <c r="Q411" i="1" s="1"/>
  <c r="H412" i="1"/>
  <c r="O412" i="1" s="1"/>
  <c r="P412" i="1" s="1"/>
  <c r="Q412" i="1" s="1"/>
  <c r="H413" i="1"/>
  <c r="O413" i="1" s="1"/>
  <c r="P413" i="1" s="1"/>
  <c r="Q413" i="1" s="1"/>
  <c r="H414" i="1"/>
  <c r="O414" i="1" s="1"/>
  <c r="P414" i="1" s="1"/>
  <c r="Q414" i="1" s="1"/>
  <c r="H415" i="1"/>
  <c r="O415" i="1" s="1"/>
  <c r="P415" i="1" s="1"/>
  <c r="Q415" i="1" s="1"/>
  <c r="H416" i="1"/>
  <c r="O416" i="1" s="1"/>
  <c r="P416" i="1" s="1"/>
  <c r="Q416" i="1" s="1"/>
  <c r="H417" i="1"/>
  <c r="O417" i="1" s="1"/>
  <c r="P417" i="1" s="1"/>
  <c r="Q417" i="1" s="1"/>
  <c r="H418" i="1"/>
  <c r="O418" i="1" s="1"/>
  <c r="P418" i="1" s="1"/>
  <c r="Q418" i="1" s="1"/>
  <c r="H419" i="1"/>
  <c r="O419" i="1" s="1"/>
  <c r="P419" i="1" s="1"/>
  <c r="Q419" i="1" s="1"/>
  <c r="H420" i="1"/>
  <c r="I420" i="1" s="1"/>
  <c r="H421" i="1"/>
  <c r="O421" i="1" s="1"/>
  <c r="P421" i="1" s="1"/>
  <c r="Q421" i="1" s="1"/>
  <c r="H422" i="1"/>
  <c r="O422" i="1" s="1"/>
  <c r="P422" i="1" s="1"/>
  <c r="Q422" i="1" s="1"/>
  <c r="H423" i="1"/>
  <c r="O423" i="1" s="1"/>
  <c r="P423" i="1" s="1"/>
  <c r="Q423" i="1" s="1"/>
  <c r="H424" i="1"/>
  <c r="O424" i="1" s="1"/>
  <c r="P424" i="1" s="1"/>
  <c r="Q424" i="1" s="1"/>
  <c r="H425" i="1"/>
  <c r="H426" i="1"/>
  <c r="O426" i="1" s="1"/>
  <c r="P426" i="1" s="1"/>
  <c r="Q426" i="1" s="1"/>
  <c r="H427" i="1"/>
  <c r="O427" i="1" s="1"/>
  <c r="P427" i="1" s="1"/>
  <c r="Q427" i="1" s="1"/>
  <c r="H428" i="1"/>
  <c r="H429" i="1"/>
  <c r="O429" i="1" s="1"/>
  <c r="P429" i="1" s="1"/>
  <c r="Q429" i="1" s="1"/>
  <c r="H430" i="1"/>
  <c r="O430" i="1" s="1"/>
  <c r="P430" i="1" s="1"/>
  <c r="Q430" i="1" s="1"/>
  <c r="H431" i="1"/>
  <c r="O431" i="1" s="1"/>
  <c r="P431" i="1" s="1"/>
  <c r="Q431" i="1" s="1"/>
  <c r="H432" i="1"/>
  <c r="I432" i="1" s="1"/>
  <c r="H433" i="1"/>
  <c r="O433" i="1" s="1"/>
  <c r="P433" i="1" s="1"/>
  <c r="Q433" i="1" s="1"/>
  <c r="H434" i="1"/>
  <c r="O434" i="1" s="1"/>
  <c r="P434" i="1" s="1"/>
  <c r="Q434" i="1" s="1"/>
  <c r="H435" i="1"/>
  <c r="O435" i="1" s="1"/>
  <c r="P435" i="1" s="1"/>
  <c r="Q435" i="1" s="1"/>
  <c r="H436" i="1"/>
  <c r="O436" i="1" s="1"/>
  <c r="P436" i="1" s="1"/>
  <c r="Q436" i="1" s="1"/>
  <c r="H437" i="1"/>
  <c r="H438" i="1"/>
  <c r="O438" i="1" s="1"/>
  <c r="P438" i="1" s="1"/>
  <c r="Q438" i="1" s="1"/>
  <c r="H439" i="1"/>
  <c r="O439" i="1" s="1"/>
  <c r="P439" i="1" s="1"/>
  <c r="Q439" i="1" s="1"/>
  <c r="H440" i="1"/>
  <c r="O440" i="1" s="1"/>
  <c r="P440" i="1" s="1"/>
  <c r="Q440" i="1" s="1"/>
  <c r="H441" i="1"/>
  <c r="O441" i="1" s="1"/>
  <c r="P441" i="1" s="1"/>
  <c r="Q441" i="1" s="1"/>
  <c r="H442" i="1"/>
  <c r="O442" i="1" s="1"/>
  <c r="P442" i="1" s="1"/>
  <c r="Q442" i="1" s="1"/>
  <c r="H443" i="1"/>
  <c r="O443" i="1" s="1"/>
  <c r="P443" i="1" s="1"/>
  <c r="Q443" i="1" s="1"/>
  <c r="H444" i="1"/>
  <c r="I444" i="1" s="1"/>
  <c r="H445" i="1"/>
  <c r="O445" i="1" s="1"/>
  <c r="P445" i="1" s="1"/>
  <c r="Q445" i="1" s="1"/>
  <c r="H446" i="1"/>
  <c r="O446" i="1" s="1"/>
  <c r="P446" i="1" s="1"/>
  <c r="Q446" i="1" s="1"/>
  <c r="H447" i="1"/>
  <c r="O447" i="1" s="1"/>
  <c r="P447" i="1" s="1"/>
  <c r="Q447" i="1" s="1"/>
  <c r="H448" i="1"/>
  <c r="O448" i="1" s="1"/>
  <c r="P448" i="1" s="1"/>
  <c r="Q448" i="1" s="1"/>
  <c r="H449" i="1"/>
  <c r="O449" i="1" s="1"/>
  <c r="P449" i="1" s="1"/>
  <c r="Q449" i="1" s="1"/>
  <c r="H450" i="1"/>
  <c r="O450" i="1" s="1"/>
  <c r="P450" i="1" s="1"/>
  <c r="Q450" i="1" s="1"/>
  <c r="H451" i="1"/>
  <c r="O451" i="1" s="1"/>
  <c r="P451" i="1" s="1"/>
  <c r="Q451" i="1" s="1"/>
  <c r="H452" i="1"/>
  <c r="O452" i="1" s="1"/>
  <c r="P452" i="1" s="1"/>
  <c r="Q452" i="1" s="1"/>
  <c r="H453" i="1"/>
  <c r="O453" i="1" s="1"/>
  <c r="P453" i="1" s="1"/>
  <c r="Q453" i="1" s="1"/>
  <c r="H454" i="1"/>
  <c r="O454" i="1" s="1"/>
  <c r="P454" i="1" s="1"/>
  <c r="Q454" i="1" s="1"/>
  <c r="H455" i="1"/>
  <c r="O455" i="1" s="1"/>
  <c r="P455" i="1" s="1"/>
  <c r="Q455" i="1" s="1"/>
  <c r="H456" i="1"/>
  <c r="I456" i="1" s="1"/>
  <c r="H457" i="1"/>
  <c r="O457" i="1" s="1"/>
  <c r="P457" i="1" s="1"/>
  <c r="Q457" i="1" s="1"/>
  <c r="H458" i="1"/>
  <c r="O458" i="1" s="1"/>
  <c r="P458" i="1" s="1"/>
  <c r="Q458" i="1" s="1"/>
  <c r="H459" i="1"/>
  <c r="O459" i="1" s="1"/>
  <c r="P459" i="1" s="1"/>
  <c r="Q459" i="1" s="1"/>
  <c r="H460" i="1"/>
  <c r="O460" i="1" s="1"/>
  <c r="P460" i="1" s="1"/>
  <c r="Q460" i="1" s="1"/>
  <c r="H461" i="1"/>
  <c r="O461" i="1" s="1"/>
  <c r="P461" i="1" s="1"/>
  <c r="Q461" i="1" s="1"/>
  <c r="H462" i="1"/>
  <c r="O462" i="1" s="1"/>
  <c r="P462" i="1" s="1"/>
  <c r="Q462" i="1" s="1"/>
  <c r="H463" i="1"/>
  <c r="O463" i="1" s="1"/>
  <c r="P463" i="1" s="1"/>
  <c r="Q463" i="1" s="1"/>
  <c r="H464" i="1"/>
  <c r="O464" i="1" s="1"/>
  <c r="P464" i="1" s="1"/>
  <c r="Q464" i="1" s="1"/>
  <c r="H465" i="1"/>
  <c r="O465" i="1" s="1"/>
  <c r="P465" i="1" s="1"/>
  <c r="Q465" i="1" s="1"/>
  <c r="H466" i="1"/>
  <c r="O466" i="1" s="1"/>
  <c r="P466" i="1" s="1"/>
  <c r="Q466" i="1" s="1"/>
  <c r="H467" i="1"/>
  <c r="O467" i="1" s="1"/>
  <c r="P467" i="1" s="1"/>
  <c r="Q467" i="1" s="1"/>
  <c r="H468" i="1"/>
  <c r="K468" i="1" s="1"/>
  <c r="H469" i="1"/>
  <c r="O469" i="1" s="1"/>
  <c r="P469" i="1" s="1"/>
  <c r="Q469" i="1" s="1"/>
  <c r="H470" i="1"/>
  <c r="O470" i="1" s="1"/>
  <c r="P470" i="1" s="1"/>
  <c r="Q470" i="1" s="1"/>
  <c r="H471" i="1"/>
  <c r="O471" i="1" s="1"/>
  <c r="P471" i="1" s="1"/>
  <c r="Q471" i="1" s="1"/>
  <c r="H472" i="1"/>
  <c r="O472" i="1" s="1"/>
  <c r="P472" i="1" s="1"/>
  <c r="Q472" i="1" s="1"/>
  <c r="H473" i="1"/>
  <c r="O473" i="1" s="1"/>
  <c r="P473" i="1" s="1"/>
  <c r="Q473" i="1" s="1"/>
  <c r="H474" i="1"/>
  <c r="O474" i="1" s="1"/>
  <c r="P474" i="1" s="1"/>
  <c r="Q474" i="1" s="1"/>
  <c r="H475" i="1"/>
  <c r="O475" i="1" s="1"/>
  <c r="P475" i="1" s="1"/>
  <c r="Q475" i="1" s="1"/>
  <c r="H476" i="1"/>
  <c r="O476" i="1" s="1"/>
  <c r="P476" i="1" s="1"/>
  <c r="Q476" i="1" s="1"/>
  <c r="H477" i="1"/>
  <c r="O477" i="1" s="1"/>
  <c r="P477" i="1" s="1"/>
  <c r="Q477" i="1" s="1"/>
  <c r="H478" i="1"/>
  <c r="O478" i="1" s="1"/>
  <c r="P478" i="1" s="1"/>
  <c r="Q478" i="1" s="1"/>
  <c r="H479" i="1"/>
  <c r="O479" i="1" s="1"/>
  <c r="P479" i="1" s="1"/>
  <c r="Q479" i="1" s="1"/>
  <c r="H480" i="1"/>
  <c r="I480" i="1" s="1"/>
  <c r="H481" i="1"/>
  <c r="O481" i="1" s="1"/>
  <c r="P481" i="1" s="1"/>
  <c r="Q481" i="1" s="1"/>
  <c r="H482" i="1"/>
  <c r="O482" i="1" s="1"/>
  <c r="P482" i="1" s="1"/>
  <c r="Q482" i="1" s="1"/>
  <c r="H483" i="1"/>
  <c r="O483" i="1" s="1"/>
  <c r="P483" i="1" s="1"/>
  <c r="Q483" i="1" s="1"/>
  <c r="H484" i="1"/>
  <c r="O484" i="1" s="1"/>
  <c r="P484" i="1" s="1"/>
  <c r="Q484" i="1" s="1"/>
  <c r="H485" i="1"/>
  <c r="H486" i="1"/>
  <c r="O486" i="1" s="1"/>
  <c r="P486" i="1" s="1"/>
  <c r="Q486" i="1" s="1"/>
  <c r="H487" i="1"/>
  <c r="O487" i="1" s="1"/>
  <c r="P487" i="1" s="1"/>
  <c r="Q487" i="1" s="1"/>
  <c r="H488" i="1"/>
  <c r="O488" i="1" s="1"/>
  <c r="P488" i="1" s="1"/>
  <c r="Q488" i="1" s="1"/>
  <c r="H489" i="1"/>
  <c r="O489" i="1" s="1"/>
  <c r="P489" i="1" s="1"/>
  <c r="Q489" i="1" s="1"/>
  <c r="H490" i="1"/>
  <c r="O490" i="1" s="1"/>
  <c r="P490" i="1" s="1"/>
  <c r="Q490" i="1" s="1"/>
  <c r="H491" i="1"/>
  <c r="O491" i="1" s="1"/>
  <c r="P491" i="1" s="1"/>
  <c r="Q491" i="1" s="1"/>
  <c r="H492" i="1"/>
  <c r="I492" i="1" s="1"/>
  <c r="H493" i="1"/>
  <c r="O493" i="1" s="1"/>
  <c r="P493" i="1" s="1"/>
  <c r="Q493" i="1" s="1"/>
  <c r="H494" i="1"/>
  <c r="O494" i="1" s="1"/>
  <c r="P494" i="1" s="1"/>
  <c r="Q494" i="1" s="1"/>
  <c r="H495" i="1"/>
  <c r="O495" i="1" s="1"/>
  <c r="P495" i="1" s="1"/>
  <c r="Q495" i="1" s="1"/>
  <c r="H496" i="1"/>
  <c r="H497" i="1"/>
  <c r="O497" i="1" s="1"/>
  <c r="P497" i="1" s="1"/>
  <c r="Q497" i="1" s="1"/>
  <c r="H498" i="1"/>
  <c r="O498" i="1" s="1"/>
  <c r="P498" i="1" s="1"/>
  <c r="Q498" i="1" s="1"/>
  <c r="H499" i="1"/>
  <c r="O499" i="1" s="1"/>
  <c r="P499" i="1" s="1"/>
  <c r="Q499" i="1" s="1"/>
  <c r="H500" i="1"/>
  <c r="O500" i="1" s="1"/>
  <c r="P500" i="1" s="1"/>
  <c r="Q500" i="1" s="1"/>
  <c r="H501" i="1"/>
  <c r="O501" i="1" s="1"/>
  <c r="P501" i="1" s="1"/>
  <c r="Q501" i="1" s="1"/>
  <c r="H502" i="1"/>
  <c r="O502" i="1" s="1"/>
  <c r="P502" i="1" s="1"/>
  <c r="Q502" i="1" s="1"/>
  <c r="H503" i="1"/>
  <c r="O503" i="1" s="1"/>
  <c r="P503" i="1" s="1"/>
  <c r="Q503" i="1" s="1"/>
  <c r="H504" i="1"/>
  <c r="O504" i="1" s="1"/>
  <c r="P504" i="1" s="1"/>
  <c r="Q504" i="1" s="1"/>
  <c r="H505" i="1"/>
  <c r="O505" i="1" s="1"/>
  <c r="P505" i="1" s="1"/>
  <c r="Q505" i="1" s="1"/>
  <c r="H506" i="1"/>
  <c r="O506" i="1" s="1"/>
  <c r="P506" i="1" s="1"/>
  <c r="Q506" i="1" s="1"/>
  <c r="H507" i="1"/>
  <c r="I507" i="1" s="1"/>
  <c r="H508" i="1"/>
  <c r="O508" i="1" s="1"/>
  <c r="P508" i="1" s="1"/>
  <c r="Q508" i="1" s="1"/>
  <c r="H509" i="1"/>
  <c r="O509" i="1" s="1"/>
  <c r="P509" i="1" s="1"/>
  <c r="Q509" i="1" s="1"/>
  <c r="H510" i="1"/>
  <c r="O510" i="1" s="1"/>
  <c r="P510" i="1" s="1"/>
  <c r="Q510" i="1" s="1"/>
  <c r="H511" i="1"/>
  <c r="O511" i="1" s="1"/>
  <c r="P511" i="1" s="1"/>
  <c r="Q511" i="1" s="1"/>
  <c r="H512" i="1"/>
  <c r="O512" i="1" s="1"/>
  <c r="P512" i="1" s="1"/>
  <c r="Q512" i="1" s="1"/>
  <c r="H513" i="1"/>
  <c r="O513" i="1" s="1"/>
  <c r="P513" i="1" s="1"/>
  <c r="Q513" i="1" s="1"/>
  <c r="H514" i="1"/>
  <c r="O514" i="1" s="1"/>
  <c r="P514" i="1" s="1"/>
  <c r="Q514" i="1" s="1"/>
  <c r="H515" i="1"/>
  <c r="O515" i="1" s="1"/>
  <c r="P515" i="1" s="1"/>
  <c r="Q515" i="1" s="1"/>
  <c r="H516" i="1"/>
  <c r="O516" i="1" s="1"/>
  <c r="P516" i="1" s="1"/>
  <c r="Q516" i="1" s="1"/>
  <c r="H517" i="1"/>
  <c r="O517" i="1" s="1"/>
  <c r="P517" i="1" s="1"/>
  <c r="Q517" i="1" s="1"/>
  <c r="H518" i="1"/>
  <c r="O518" i="1" s="1"/>
  <c r="P518" i="1" s="1"/>
  <c r="Q518" i="1" s="1"/>
  <c r="H519" i="1"/>
  <c r="I519" i="1" s="1"/>
  <c r="H520" i="1"/>
  <c r="O520" i="1" s="1"/>
  <c r="P520" i="1" s="1"/>
  <c r="Q520" i="1" s="1"/>
  <c r="H521" i="1"/>
  <c r="O521" i="1" s="1"/>
  <c r="P521" i="1" s="1"/>
  <c r="Q521" i="1" s="1"/>
  <c r="H522" i="1"/>
  <c r="O522" i="1" s="1"/>
  <c r="P522" i="1" s="1"/>
  <c r="Q522" i="1" s="1"/>
  <c r="H523" i="1"/>
  <c r="O523" i="1" s="1"/>
  <c r="P523" i="1" s="1"/>
  <c r="Q523" i="1" s="1"/>
  <c r="H524" i="1"/>
  <c r="H525" i="1"/>
  <c r="O525" i="1" s="1"/>
  <c r="P525" i="1" s="1"/>
  <c r="Q525" i="1" s="1"/>
  <c r="H526" i="1"/>
  <c r="O526" i="1" s="1"/>
  <c r="P526" i="1" s="1"/>
  <c r="Q526" i="1" s="1"/>
  <c r="H527" i="1"/>
  <c r="O527" i="1" s="1"/>
  <c r="P527" i="1" s="1"/>
  <c r="Q527" i="1" s="1"/>
  <c r="H528" i="1"/>
  <c r="O528" i="1" s="1"/>
  <c r="P528" i="1" s="1"/>
  <c r="Q528" i="1" s="1"/>
  <c r="H529" i="1"/>
  <c r="O529" i="1" s="1"/>
  <c r="P529" i="1" s="1"/>
  <c r="Q529" i="1" s="1"/>
  <c r="H530" i="1"/>
  <c r="O530" i="1" s="1"/>
  <c r="P530" i="1" s="1"/>
  <c r="Q530" i="1" s="1"/>
  <c r="H531" i="1"/>
  <c r="I531" i="1" s="1"/>
  <c r="H532" i="1"/>
  <c r="O532" i="1" s="1"/>
  <c r="P532" i="1" s="1"/>
  <c r="Q532" i="1" s="1"/>
  <c r="H533" i="1"/>
  <c r="O533" i="1" s="1"/>
  <c r="P533" i="1" s="1"/>
  <c r="Q533" i="1" s="1"/>
  <c r="H534" i="1"/>
  <c r="O534" i="1" s="1"/>
  <c r="P534" i="1" s="1"/>
  <c r="Q534" i="1" s="1"/>
  <c r="H535" i="1"/>
  <c r="O535" i="1" s="1"/>
  <c r="P535" i="1" s="1"/>
  <c r="Q535" i="1" s="1"/>
  <c r="H536" i="1"/>
  <c r="O536" i="1" s="1"/>
  <c r="P536" i="1" s="1"/>
  <c r="Q536" i="1" s="1"/>
  <c r="H537" i="1"/>
  <c r="O537" i="1" s="1"/>
  <c r="P537" i="1" s="1"/>
  <c r="Q537" i="1" s="1"/>
  <c r="H538" i="1"/>
  <c r="O538" i="1" s="1"/>
  <c r="P538" i="1" s="1"/>
  <c r="Q538" i="1" s="1"/>
  <c r="H539" i="1"/>
  <c r="O539" i="1" s="1"/>
  <c r="P539" i="1" s="1"/>
  <c r="Q539" i="1" s="1"/>
  <c r="H540" i="1"/>
  <c r="O540" i="1" s="1"/>
  <c r="P540" i="1" s="1"/>
  <c r="Q540" i="1" s="1"/>
  <c r="H541" i="1"/>
  <c r="O541" i="1" s="1"/>
  <c r="P541" i="1" s="1"/>
  <c r="Q541" i="1" s="1"/>
  <c r="H542" i="1"/>
  <c r="O542" i="1" s="1"/>
  <c r="P542" i="1" s="1"/>
  <c r="Q542" i="1" s="1"/>
  <c r="H543" i="1"/>
  <c r="O543" i="1" s="1"/>
  <c r="P543" i="1" s="1"/>
  <c r="Q543" i="1" s="1"/>
  <c r="H544" i="1"/>
  <c r="O544" i="1" s="1"/>
  <c r="P544" i="1" s="1"/>
  <c r="Q544" i="1" s="1"/>
  <c r="H545" i="1"/>
  <c r="O545" i="1" s="1"/>
  <c r="P545" i="1" s="1"/>
  <c r="Q545" i="1" s="1"/>
  <c r="H546" i="1"/>
  <c r="O546" i="1" s="1"/>
  <c r="P546" i="1" s="1"/>
  <c r="Q546" i="1" s="1"/>
  <c r="H547" i="1"/>
  <c r="O547" i="1" s="1"/>
  <c r="P547" i="1" s="1"/>
  <c r="Q547" i="1" s="1"/>
  <c r="H548" i="1"/>
  <c r="O548" i="1" s="1"/>
  <c r="P548" i="1" s="1"/>
  <c r="Q548" i="1" s="1"/>
  <c r="H549" i="1"/>
  <c r="O549" i="1" s="1"/>
  <c r="P549" i="1" s="1"/>
  <c r="Q549" i="1" s="1"/>
  <c r="H550" i="1"/>
  <c r="O550" i="1" s="1"/>
  <c r="P550" i="1" s="1"/>
  <c r="Q550" i="1" s="1"/>
  <c r="H551" i="1"/>
  <c r="O551" i="1" s="1"/>
  <c r="P551" i="1" s="1"/>
  <c r="Q551" i="1" s="1"/>
  <c r="H552" i="1"/>
  <c r="O552" i="1" s="1"/>
  <c r="P552" i="1" s="1"/>
  <c r="Q552" i="1" s="1"/>
  <c r="H553" i="1"/>
  <c r="O553" i="1" s="1"/>
  <c r="P553" i="1" s="1"/>
  <c r="Q553" i="1" s="1"/>
  <c r="H554" i="1"/>
  <c r="O554" i="1" s="1"/>
  <c r="P554" i="1" s="1"/>
  <c r="Q554" i="1" s="1"/>
  <c r="H555" i="1"/>
  <c r="O555" i="1" s="1"/>
  <c r="P555" i="1" s="1"/>
  <c r="Q555" i="1" s="1"/>
  <c r="H556" i="1"/>
  <c r="O556" i="1" s="1"/>
  <c r="P556" i="1" s="1"/>
  <c r="Q556" i="1" s="1"/>
  <c r="H557" i="1"/>
  <c r="O557" i="1" s="1"/>
  <c r="P557" i="1" s="1"/>
  <c r="Q557" i="1" s="1"/>
  <c r="H558" i="1"/>
  <c r="O558" i="1" s="1"/>
  <c r="P558" i="1" s="1"/>
  <c r="Q558" i="1" s="1"/>
  <c r="H559" i="1"/>
  <c r="O559" i="1" s="1"/>
  <c r="P559" i="1" s="1"/>
  <c r="Q559" i="1" s="1"/>
  <c r="H560" i="1"/>
  <c r="O560" i="1" s="1"/>
  <c r="P560" i="1" s="1"/>
  <c r="Q560" i="1" s="1"/>
  <c r="H561" i="1"/>
  <c r="O561" i="1" s="1"/>
  <c r="P561" i="1" s="1"/>
  <c r="Q561" i="1" s="1"/>
  <c r="H562" i="1"/>
  <c r="O562" i="1" s="1"/>
  <c r="P562" i="1" s="1"/>
  <c r="Q562" i="1" s="1"/>
  <c r="H563" i="1"/>
  <c r="O563" i="1" s="1"/>
  <c r="P563" i="1" s="1"/>
  <c r="Q563" i="1" s="1"/>
  <c r="H564" i="1"/>
  <c r="O564" i="1" s="1"/>
  <c r="P564" i="1" s="1"/>
  <c r="Q564" i="1" s="1"/>
  <c r="H565" i="1"/>
  <c r="O565" i="1" s="1"/>
  <c r="P565" i="1" s="1"/>
  <c r="Q565" i="1" s="1"/>
  <c r="H566" i="1"/>
  <c r="O566" i="1" s="1"/>
  <c r="P566" i="1" s="1"/>
  <c r="Q566" i="1" s="1"/>
  <c r="H567" i="1"/>
  <c r="O567" i="1" s="1"/>
  <c r="P567" i="1" s="1"/>
  <c r="Q567" i="1" s="1"/>
  <c r="H568" i="1"/>
  <c r="O568" i="1" s="1"/>
  <c r="P568" i="1" s="1"/>
  <c r="Q568" i="1" s="1"/>
  <c r="H569" i="1"/>
  <c r="H570" i="1"/>
  <c r="O570" i="1" s="1"/>
  <c r="P570" i="1" s="1"/>
  <c r="Q570" i="1" s="1"/>
  <c r="H571" i="1"/>
  <c r="O571" i="1" s="1"/>
  <c r="P571" i="1" s="1"/>
  <c r="Q571" i="1" s="1"/>
  <c r="H572" i="1"/>
  <c r="O572" i="1" s="1"/>
  <c r="P572" i="1" s="1"/>
  <c r="Q572" i="1" s="1"/>
  <c r="H573" i="1"/>
  <c r="O573" i="1" s="1"/>
  <c r="P573" i="1" s="1"/>
  <c r="Q573" i="1" s="1"/>
  <c r="H574" i="1"/>
  <c r="O574" i="1" s="1"/>
  <c r="P574" i="1" s="1"/>
  <c r="Q574" i="1" s="1"/>
  <c r="H575" i="1"/>
  <c r="O575" i="1" s="1"/>
  <c r="P575" i="1" s="1"/>
  <c r="Q575" i="1" s="1"/>
  <c r="H576" i="1"/>
  <c r="O576" i="1" s="1"/>
  <c r="P576" i="1" s="1"/>
  <c r="Q576" i="1" s="1"/>
  <c r="H577" i="1"/>
  <c r="O577" i="1" s="1"/>
  <c r="P577" i="1" s="1"/>
  <c r="Q577" i="1" s="1"/>
  <c r="H578" i="1"/>
  <c r="O578" i="1" s="1"/>
  <c r="P578" i="1" s="1"/>
  <c r="Q578" i="1" s="1"/>
  <c r="H579" i="1"/>
  <c r="O579" i="1" s="1"/>
  <c r="P579" i="1" s="1"/>
  <c r="Q579" i="1" s="1"/>
  <c r="H580" i="1"/>
  <c r="O580" i="1" s="1"/>
  <c r="P580" i="1" s="1"/>
  <c r="Q580" i="1" s="1"/>
  <c r="H581" i="1"/>
  <c r="H582" i="1"/>
  <c r="O582" i="1" s="1"/>
  <c r="P582" i="1" s="1"/>
  <c r="Q582" i="1" s="1"/>
  <c r="H583" i="1"/>
  <c r="O583" i="1" s="1"/>
  <c r="P583" i="1" s="1"/>
  <c r="Q583" i="1" s="1"/>
  <c r="H584" i="1"/>
  <c r="O584" i="1" s="1"/>
  <c r="P584" i="1" s="1"/>
  <c r="Q584" i="1" s="1"/>
  <c r="H585" i="1"/>
  <c r="O585" i="1" s="1"/>
  <c r="P585" i="1" s="1"/>
  <c r="Q585" i="1" s="1"/>
  <c r="H586" i="1"/>
  <c r="O586" i="1" s="1"/>
  <c r="P586" i="1" s="1"/>
  <c r="Q586" i="1" s="1"/>
  <c r="H587" i="1"/>
  <c r="O587" i="1" s="1"/>
  <c r="P587" i="1" s="1"/>
  <c r="Q587" i="1" s="1"/>
  <c r="H588" i="1"/>
  <c r="I588" i="1" s="1"/>
  <c r="H589" i="1"/>
  <c r="O589" i="1" s="1"/>
  <c r="P589" i="1" s="1"/>
  <c r="Q589" i="1" s="1"/>
  <c r="H590" i="1"/>
  <c r="O590" i="1" s="1"/>
  <c r="P590" i="1" s="1"/>
  <c r="Q590" i="1" s="1"/>
  <c r="H591" i="1"/>
  <c r="O591" i="1" s="1"/>
  <c r="P591" i="1" s="1"/>
  <c r="Q591" i="1" s="1"/>
  <c r="H592" i="1"/>
  <c r="H593" i="1"/>
  <c r="O593" i="1" s="1"/>
  <c r="P593" i="1" s="1"/>
  <c r="Q593" i="1" s="1"/>
  <c r="H594" i="1"/>
  <c r="O594" i="1" s="1"/>
  <c r="P594" i="1" s="1"/>
  <c r="Q594" i="1" s="1"/>
  <c r="H595" i="1"/>
  <c r="O595" i="1" s="1"/>
  <c r="P595" i="1" s="1"/>
  <c r="Q595" i="1" s="1"/>
  <c r="H596" i="1"/>
  <c r="O596" i="1" s="1"/>
  <c r="P596" i="1" s="1"/>
  <c r="Q596" i="1" s="1"/>
  <c r="H597" i="1"/>
  <c r="O597" i="1" s="1"/>
  <c r="P597" i="1" s="1"/>
  <c r="Q597" i="1" s="1"/>
  <c r="H598" i="1"/>
  <c r="O598" i="1" s="1"/>
  <c r="P598" i="1" s="1"/>
  <c r="Q598" i="1" s="1"/>
  <c r="H599" i="1"/>
  <c r="O599" i="1" s="1"/>
  <c r="P599" i="1" s="1"/>
  <c r="Q599" i="1" s="1"/>
  <c r="H600" i="1"/>
  <c r="I600" i="1" s="1"/>
  <c r="H601" i="1"/>
  <c r="O601" i="1" s="1"/>
  <c r="P601" i="1" s="1"/>
  <c r="Q601" i="1" s="1"/>
  <c r="H602" i="1"/>
  <c r="O602" i="1" s="1"/>
  <c r="P602" i="1" s="1"/>
  <c r="Q602" i="1" s="1"/>
  <c r="H603" i="1"/>
  <c r="I603" i="1" s="1"/>
  <c r="H604" i="1"/>
  <c r="O604" i="1" s="1"/>
  <c r="P604" i="1" s="1"/>
  <c r="Q604" i="1" s="1"/>
  <c r="H605" i="1"/>
  <c r="O605" i="1" s="1"/>
  <c r="P605" i="1" s="1"/>
  <c r="Q605" i="1" s="1"/>
  <c r="H606" i="1"/>
  <c r="O606" i="1" s="1"/>
  <c r="P606" i="1" s="1"/>
  <c r="Q606" i="1" s="1"/>
  <c r="H607" i="1"/>
  <c r="O607" i="1" s="1"/>
  <c r="P607" i="1" s="1"/>
  <c r="Q607" i="1" s="1"/>
  <c r="H608" i="1"/>
  <c r="O608" i="1" s="1"/>
  <c r="P608" i="1" s="1"/>
  <c r="Q608" i="1" s="1"/>
  <c r="H609" i="1"/>
  <c r="O609" i="1" s="1"/>
  <c r="P609" i="1" s="1"/>
  <c r="Q609" i="1" s="1"/>
  <c r="H610" i="1"/>
  <c r="O610" i="1" s="1"/>
  <c r="P610" i="1" s="1"/>
  <c r="Q610" i="1" s="1"/>
  <c r="H611" i="1"/>
  <c r="O611" i="1" s="1"/>
  <c r="P611" i="1" s="1"/>
  <c r="Q611" i="1" s="1"/>
  <c r="H612" i="1"/>
  <c r="O612" i="1" s="1"/>
  <c r="P612" i="1" s="1"/>
  <c r="Q612" i="1" s="1"/>
  <c r="H613" i="1"/>
  <c r="O613" i="1" s="1"/>
  <c r="P613" i="1" s="1"/>
  <c r="Q613" i="1" s="1"/>
  <c r="H614" i="1"/>
  <c r="O614" i="1" s="1"/>
  <c r="P614" i="1" s="1"/>
  <c r="Q614" i="1" s="1"/>
  <c r="H615" i="1"/>
  <c r="O615" i="1" s="1"/>
  <c r="P615" i="1" s="1"/>
  <c r="Q615" i="1" s="1"/>
  <c r="H616" i="1"/>
  <c r="O616" i="1" s="1"/>
  <c r="P616" i="1" s="1"/>
  <c r="Q616" i="1" s="1"/>
  <c r="H617" i="1"/>
  <c r="O617" i="1" s="1"/>
  <c r="P617" i="1" s="1"/>
  <c r="Q617" i="1" s="1"/>
  <c r="H618" i="1"/>
  <c r="O618" i="1" s="1"/>
  <c r="P618" i="1" s="1"/>
  <c r="Q618" i="1" s="1"/>
  <c r="H619" i="1"/>
  <c r="O619" i="1" s="1"/>
  <c r="P619" i="1" s="1"/>
  <c r="Q619" i="1" s="1"/>
  <c r="H620" i="1"/>
  <c r="H621" i="1"/>
  <c r="O621" i="1" s="1"/>
  <c r="P621" i="1" s="1"/>
  <c r="Q621" i="1" s="1"/>
  <c r="H622" i="1"/>
  <c r="O622" i="1" s="1"/>
  <c r="P622" i="1" s="1"/>
  <c r="Q622" i="1" s="1"/>
  <c r="H623" i="1"/>
  <c r="O623" i="1" s="1"/>
  <c r="P623" i="1" s="1"/>
  <c r="Q623" i="1" s="1"/>
  <c r="H624" i="1"/>
  <c r="O624" i="1" s="1"/>
  <c r="P624" i="1" s="1"/>
  <c r="Q624" i="1" s="1"/>
  <c r="H625" i="1"/>
  <c r="O625" i="1" s="1"/>
  <c r="P625" i="1" s="1"/>
  <c r="Q625" i="1" s="1"/>
  <c r="H626" i="1"/>
  <c r="O626" i="1" s="1"/>
  <c r="P626" i="1" s="1"/>
  <c r="Q626" i="1" s="1"/>
  <c r="H627" i="1"/>
  <c r="O627" i="1" s="1"/>
  <c r="P627" i="1" s="1"/>
  <c r="Q627" i="1" s="1"/>
  <c r="H628" i="1"/>
  <c r="O628" i="1" s="1"/>
  <c r="P628" i="1" s="1"/>
  <c r="Q628" i="1" s="1"/>
  <c r="H629" i="1"/>
  <c r="H630" i="1"/>
  <c r="O630" i="1" s="1"/>
  <c r="P630" i="1" s="1"/>
  <c r="Q630" i="1" s="1"/>
  <c r="H631" i="1"/>
  <c r="O631" i="1" s="1"/>
  <c r="P631" i="1" s="1"/>
  <c r="Q631" i="1" s="1"/>
  <c r="H632" i="1"/>
  <c r="O632" i="1" s="1"/>
  <c r="P632" i="1" s="1"/>
  <c r="Q632" i="1" s="1"/>
  <c r="H633" i="1"/>
  <c r="O633" i="1" s="1"/>
  <c r="P633" i="1" s="1"/>
  <c r="Q633" i="1" s="1"/>
  <c r="H634" i="1"/>
  <c r="O634" i="1" s="1"/>
  <c r="P634" i="1" s="1"/>
  <c r="Q634" i="1" s="1"/>
  <c r="H635" i="1"/>
  <c r="O635" i="1" s="1"/>
  <c r="P635" i="1" s="1"/>
  <c r="Q635" i="1" s="1"/>
  <c r="H636" i="1"/>
  <c r="O636" i="1" s="1"/>
  <c r="P636" i="1" s="1"/>
  <c r="Q636" i="1" s="1"/>
  <c r="H637" i="1"/>
  <c r="O637" i="1" s="1"/>
  <c r="P637" i="1" s="1"/>
  <c r="Q637" i="1" s="1"/>
  <c r="H638" i="1"/>
  <c r="O638" i="1" s="1"/>
  <c r="P638" i="1" s="1"/>
  <c r="Q638" i="1" s="1"/>
  <c r="H639" i="1"/>
  <c r="O639" i="1" s="1"/>
  <c r="P639" i="1" s="1"/>
  <c r="Q639" i="1" s="1"/>
  <c r="H640" i="1"/>
  <c r="O640" i="1" s="1"/>
  <c r="P640" i="1" s="1"/>
  <c r="Q640" i="1" s="1"/>
  <c r="H641" i="1"/>
  <c r="O641" i="1" s="1"/>
  <c r="P641" i="1" s="1"/>
  <c r="Q641" i="1" s="1"/>
  <c r="H642" i="1"/>
  <c r="O642" i="1" s="1"/>
  <c r="P642" i="1" s="1"/>
  <c r="Q642" i="1" s="1"/>
  <c r="H643" i="1"/>
  <c r="O643" i="1" s="1"/>
  <c r="P643" i="1" s="1"/>
  <c r="Q643" i="1" s="1"/>
  <c r="H644" i="1"/>
  <c r="O644" i="1" s="1"/>
  <c r="P644" i="1" s="1"/>
  <c r="Q644" i="1" s="1"/>
  <c r="H645" i="1"/>
  <c r="O645" i="1" s="1"/>
  <c r="P645" i="1" s="1"/>
  <c r="Q645" i="1" s="1"/>
  <c r="H646" i="1"/>
  <c r="O646" i="1" s="1"/>
  <c r="P646" i="1" s="1"/>
  <c r="Q646" i="1" s="1"/>
  <c r="H647" i="1"/>
  <c r="O647" i="1" s="1"/>
  <c r="P647" i="1" s="1"/>
  <c r="Q647" i="1" s="1"/>
  <c r="H648" i="1"/>
  <c r="O648" i="1" s="1"/>
  <c r="P648" i="1" s="1"/>
  <c r="Q648" i="1" s="1"/>
  <c r="H649" i="1"/>
  <c r="O649" i="1" s="1"/>
  <c r="P649" i="1" s="1"/>
  <c r="Q649" i="1" s="1"/>
  <c r="H650" i="1"/>
  <c r="O650" i="1" s="1"/>
  <c r="P650" i="1" s="1"/>
  <c r="Q650" i="1" s="1"/>
  <c r="H651" i="1"/>
  <c r="O651" i="1" s="1"/>
  <c r="P651" i="1" s="1"/>
  <c r="Q651" i="1" s="1"/>
  <c r="H652" i="1"/>
  <c r="O652" i="1" s="1"/>
  <c r="P652" i="1" s="1"/>
  <c r="Q652" i="1" s="1"/>
  <c r="H653" i="1"/>
  <c r="O653" i="1" s="1"/>
  <c r="P653" i="1" s="1"/>
  <c r="Q653" i="1" s="1"/>
  <c r="H654" i="1"/>
  <c r="O654" i="1" s="1"/>
  <c r="P654" i="1" s="1"/>
  <c r="Q654" i="1" s="1"/>
  <c r="H655" i="1"/>
  <c r="O655" i="1" s="1"/>
  <c r="P655" i="1" s="1"/>
  <c r="Q655" i="1" s="1"/>
  <c r="H656" i="1"/>
  <c r="O656" i="1" s="1"/>
  <c r="P656" i="1" s="1"/>
  <c r="Q656" i="1" s="1"/>
  <c r="H657" i="1"/>
  <c r="O657" i="1" s="1"/>
  <c r="P657" i="1" s="1"/>
  <c r="Q657" i="1" s="1"/>
  <c r="H658" i="1"/>
  <c r="O658" i="1" s="1"/>
  <c r="P658" i="1" s="1"/>
  <c r="Q658" i="1" s="1"/>
  <c r="H659" i="1"/>
  <c r="O659" i="1" s="1"/>
  <c r="P659" i="1" s="1"/>
  <c r="Q659" i="1" s="1"/>
  <c r="H660" i="1"/>
  <c r="I660" i="1" s="1"/>
  <c r="H661" i="1"/>
  <c r="O661" i="1" s="1"/>
  <c r="P661" i="1" s="1"/>
  <c r="Q661" i="1" s="1"/>
  <c r="H662" i="1"/>
  <c r="O662" i="1" s="1"/>
  <c r="P662" i="1" s="1"/>
  <c r="Q662" i="1" s="1"/>
  <c r="H663" i="1"/>
  <c r="O663" i="1" s="1"/>
  <c r="P663" i="1" s="1"/>
  <c r="Q663" i="1" s="1"/>
  <c r="H664" i="1"/>
  <c r="O664" i="1" s="1"/>
  <c r="P664" i="1" s="1"/>
  <c r="Q664" i="1" s="1"/>
  <c r="H665" i="1"/>
  <c r="O665" i="1" s="1"/>
  <c r="P665" i="1" s="1"/>
  <c r="Q665" i="1" s="1"/>
  <c r="H666" i="1"/>
  <c r="O666" i="1" s="1"/>
  <c r="P666" i="1" s="1"/>
  <c r="Q666" i="1" s="1"/>
  <c r="H667" i="1"/>
  <c r="O667" i="1" s="1"/>
  <c r="P667" i="1" s="1"/>
  <c r="Q667" i="1" s="1"/>
  <c r="H668" i="1"/>
  <c r="O668" i="1" s="1"/>
  <c r="P668" i="1" s="1"/>
  <c r="Q668" i="1" s="1"/>
  <c r="H669" i="1"/>
  <c r="O669" i="1" s="1"/>
  <c r="P669" i="1" s="1"/>
  <c r="Q669" i="1" s="1"/>
  <c r="H670" i="1"/>
  <c r="O670" i="1" s="1"/>
  <c r="P670" i="1" s="1"/>
  <c r="Q670" i="1" s="1"/>
  <c r="H671" i="1"/>
  <c r="H672" i="1"/>
  <c r="I672" i="1" s="1"/>
  <c r="H673" i="1"/>
  <c r="O673" i="1" s="1"/>
  <c r="P673" i="1" s="1"/>
  <c r="Q673" i="1" s="1"/>
  <c r="H674" i="1"/>
  <c r="I674" i="1" s="1"/>
  <c r="H675" i="1"/>
  <c r="O675" i="1" s="1"/>
  <c r="P675" i="1" s="1"/>
  <c r="Q675" i="1" s="1"/>
  <c r="H676" i="1"/>
  <c r="O676" i="1" s="1"/>
  <c r="P676" i="1" s="1"/>
  <c r="Q676" i="1" s="1"/>
  <c r="H677" i="1"/>
  <c r="O677" i="1" s="1"/>
  <c r="P677" i="1" s="1"/>
  <c r="Q677" i="1" s="1"/>
  <c r="H678" i="1"/>
  <c r="O678" i="1" s="1"/>
  <c r="P678" i="1" s="1"/>
  <c r="Q678" i="1" s="1"/>
  <c r="H679" i="1"/>
  <c r="O679" i="1" s="1"/>
  <c r="P679" i="1" s="1"/>
  <c r="Q679" i="1" s="1"/>
  <c r="H680" i="1"/>
  <c r="O680" i="1" s="1"/>
  <c r="P680" i="1" s="1"/>
  <c r="Q680" i="1" s="1"/>
  <c r="H681" i="1"/>
  <c r="O681" i="1" s="1"/>
  <c r="P681" i="1" s="1"/>
  <c r="Q681" i="1" s="1"/>
  <c r="H682" i="1"/>
  <c r="O682" i="1" s="1"/>
  <c r="P682" i="1" s="1"/>
  <c r="Q682" i="1" s="1"/>
  <c r="H683" i="1"/>
  <c r="O683" i="1" s="1"/>
  <c r="P683" i="1" s="1"/>
  <c r="Q683" i="1" s="1"/>
  <c r="H684" i="1"/>
  <c r="O684" i="1" s="1"/>
  <c r="P684" i="1" s="1"/>
  <c r="Q684" i="1" s="1"/>
  <c r="H685" i="1"/>
  <c r="O685" i="1" s="1"/>
  <c r="P685" i="1" s="1"/>
  <c r="Q685" i="1" s="1"/>
  <c r="H686" i="1"/>
  <c r="O686" i="1" s="1"/>
  <c r="P686" i="1" s="1"/>
  <c r="Q686" i="1" s="1"/>
  <c r="H687" i="1"/>
  <c r="O687" i="1" s="1"/>
  <c r="P687" i="1" s="1"/>
  <c r="Q687" i="1" s="1"/>
  <c r="H688" i="1"/>
  <c r="H689" i="1"/>
  <c r="O689" i="1" s="1"/>
  <c r="P689" i="1" s="1"/>
  <c r="Q689" i="1" s="1"/>
  <c r="H690" i="1"/>
  <c r="O690" i="1" s="1"/>
  <c r="P690" i="1" s="1"/>
  <c r="Q690" i="1" s="1"/>
  <c r="H691" i="1"/>
  <c r="O691" i="1" s="1"/>
  <c r="P691" i="1" s="1"/>
  <c r="Q691" i="1" s="1"/>
  <c r="H692" i="1"/>
  <c r="O692" i="1" s="1"/>
  <c r="P692" i="1" s="1"/>
  <c r="Q692" i="1" s="1"/>
  <c r="H693" i="1"/>
  <c r="O693" i="1" s="1"/>
  <c r="P693" i="1" s="1"/>
  <c r="Q693" i="1" s="1"/>
  <c r="H694" i="1"/>
  <c r="O694" i="1" s="1"/>
  <c r="P694" i="1" s="1"/>
  <c r="Q694" i="1" s="1"/>
  <c r="H695" i="1"/>
  <c r="O695" i="1" s="1"/>
  <c r="P695" i="1" s="1"/>
  <c r="Q695" i="1" s="1"/>
  <c r="H696" i="1"/>
  <c r="I696" i="1" s="1"/>
  <c r="H697" i="1"/>
  <c r="I697" i="1" s="1"/>
  <c r="H698" i="1"/>
  <c r="I698" i="1" s="1"/>
  <c r="H699" i="1"/>
  <c r="I699" i="1" s="1"/>
  <c r="H700" i="1"/>
  <c r="O700" i="1" s="1"/>
  <c r="P700" i="1" s="1"/>
  <c r="Q700" i="1" s="1"/>
  <c r="H701" i="1"/>
  <c r="O701" i="1" s="1"/>
  <c r="P701" i="1" s="1"/>
  <c r="Q701" i="1" s="1"/>
  <c r="H702" i="1"/>
  <c r="O702" i="1" s="1"/>
  <c r="P702" i="1" s="1"/>
  <c r="Q702" i="1" s="1"/>
  <c r="H703" i="1"/>
  <c r="O703" i="1" s="1"/>
  <c r="P703" i="1" s="1"/>
  <c r="Q703" i="1" s="1"/>
  <c r="H704" i="1"/>
  <c r="O704" i="1" s="1"/>
  <c r="P704" i="1" s="1"/>
  <c r="Q704" i="1" s="1"/>
  <c r="H705" i="1"/>
  <c r="O705" i="1" s="1"/>
  <c r="P705" i="1" s="1"/>
  <c r="Q705" i="1" s="1"/>
  <c r="H706" i="1"/>
  <c r="O706" i="1" s="1"/>
  <c r="P706" i="1" s="1"/>
  <c r="Q706" i="1" s="1"/>
  <c r="H707" i="1"/>
  <c r="H708" i="1"/>
  <c r="O708" i="1" s="1"/>
  <c r="P708" i="1" s="1"/>
  <c r="Q708" i="1" s="1"/>
  <c r="H709" i="1"/>
  <c r="O709" i="1" s="1"/>
  <c r="P709" i="1" s="1"/>
  <c r="Q709" i="1" s="1"/>
  <c r="H710" i="1"/>
  <c r="O710" i="1" s="1"/>
  <c r="P710" i="1" s="1"/>
  <c r="Q710" i="1" s="1"/>
  <c r="H711" i="1"/>
  <c r="O711" i="1" s="1"/>
  <c r="P711" i="1" s="1"/>
  <c r="Q711" i="1" s="1"/>
  <c r="H712" i="1"/>
  <c r="O712" i="1" s="1"/>
  <c r="P712" i="1" s="1"/>
  <c r="Q712" i="1" s="1"/>
  <c r="H713" i="1"/>
  <c r="H714" i="1"/>
  <c r="O714" i="1" s="1"/>
  <c r="P714" i="1" s="1"/>
  <c r="Q714" i="1" s="1"/>
  <c r="H715" i="1"/>
  <c r="O715" i="1" s="1"/>
  <c r="P715" i="1" s="1"/>
  <c r="Q715" i="1" s="1"/>
  <c r="H716" i="1"/>
  <c r="H717" i="1"/>
  <c r="O717" i="1" s="1"/>
  <c r="P717" i="1" s="1"/>
  <c r="Q717" i="1" s="1"/>
  <c r="H718" i="1"/>
  <c r="O718" i="1" s="1"/>
  <c r="P718" i="1" s="1"/>
  <c r="Q718" i="1" s="1"/>
  <c r="H719" i="1"/>
  <c r="O719" i="1" s="1"/>
  <c r="P719" i="1" s="1"/>
  <c r="Q719" i="1" s="1"/>
  <c r="H720" i="1"/>
  <c r="O720" i="1" s="1"/>
  <c r="P720" i="1" s="1"/>
  <c r="Q720" i="1" s="1"/>
  <c r="H721" i="1"/>
  <c r="I721" i="1" s="1"/>
  <c r="H722" i="1"/>
  <c r="O722" i="1" s="1"/>
  <c r="P722" i="1" s="1"/>
  <c r="Q722" i="1" s="1"/>
  <c r="H723" i="1"/>
  <c r="O723" i="1" s="1"/>
  <c r="P723" i="1" s="1"/>
  <c r="Q723" i="1" s="1"/>
  <c r="H724" i="1"/>
  <c r="O724" i="1" s="1"/>
  <c r="P724" i="1" s="1"/>
  <c r="Q724" i="1" s="1"/>
  <c r="H725" i="1"/>
  <c r="H726" i="1"/>
  <c r="O726" i="1" s="1"/>
  <c r="P726" i="1" s="1"/>
  <c r="Q726" i="1" s="1"/>
  <c r="H727" i="1"/>
  <c r="O727" i="1" s="1"/>
  <c r="P727" i="1" s="1"/>
  <c r="Q727" i="1" s="1"/>
  <c r="H728" i="1"/>
  <c r="O728" i="1" s="1"/>
  <c r="P728" i="1" s="1"/>
  <c r="Q728" i="1" s="1"/>
  <c r="H729" i="1"/>
  <c r="O729" i="1" s="1"/>
  <c r="P729" i="1" s="1"/>
  <c r="Q729" i="1" s="1"/>
  <c r="H730" i="1"/>
  <c r="O730" i="1" s="1"/>
  <c r="P730" i="1" s="1"/>
  <c r="Q730" i="1" s="1"/>
  <c r="H731" i="1"/>
  <c r="H732" i="1"/>
  <c r="I732" i="1" s="1"/>
  <c r="H733" i="1"/>
  <c r="I733" i="1" s="1"/>
  <c r="H734" i="1"/>
  <c r="O734" i="1" s="1"/>
  <c r="P734" i="1" s="1"/>
  <c r="Q734" i="1" s="1"/>
  <c r="H735" i="1"/>
  <c r="O735" i="1" s="1"/>
  <c r="P735" i="1" s="1"/>
  <c r="Q735" i="1" s="1"/>
  <c r="H736" i="1"/>
  <c r="O736" i="1" s="1"/>
  <c r="P736" i="1" s="1"/>
  <c r="Q736" i="1" s="1"/>
  <c r="H737" i="1"/>
  <c r="O737" i="1" s="1"/>
  <c r="P737" i="1" s="1"/>
  <c r="Q737" i="1" s="1"/>
  <c r="H738" i="1"/>
  <c r="O738" i="1" s="1"/>
  <c r="P738" i="1" s="1"/>
  <c r="Q738" i="1" s="1"/>
  <c r="H739" i="1"/>
  <c r="O739" i="1" s="1"/>
  <c r="P739" i="1" s="1"/>
  <c r="Q739" i="1" s="1"/>
  <c r="H740" i="1"/>
  <c r="O740" i="1" s="1"/>
  <c r="P740" i="1" s="1"/>
  <c r="Q740" i="1" s="1"/>
  <c r="H741" i="1"/>
  <c r="O741" i="1" s="1"/>
  <c r="P741" i="1" s="1"/>
  <c r="Q741" i="1" s="1"/>
  <c r="H742" i="1"/>
  <c r="O742" i="1" s="1"/>
  <c r="P742" i="1" s="1"/>
  <c r="Q742" i="1" s="1"/>
  <c r="H743" i="1"/>
  <c r="O743" i="1" s="1"/>
  <c r="P743" i="1" s="1"/>
  <c r="Q743" i="1" s="1"/>
  <c r="H744" i="1"/>
  <c r="O744" i="1" s="1"/>
  <c r="P744" i="1" s="1"/>
  <c r="Q744" i="1" s="1"/>
  <c r="H745" i="1"/>
  <c r="O745" i="1" s="1"/>
  <c r="P745" i="1" s="1"/>
  <c r="Q745" i="1" s="1"/>
  <c r="H746" i="1"/>
  <c r="O746" i="1" s="1"/>
  <c r="P746" i="1" s="1"/>
  <c r="Q746" i="1" s="1"/>
  <c r="H747" i="1"/>
  <c r="O747" i="1" s="1"/>
  <c r="P747" i="1" s="1"/>
  <c r="Q747" i="1" s="1"/>
  <c r="H748" i="1"/>
  <c r="H749" i="1"/>
  <c r="O749" i="1" s="1"/>
  <c r="P749" i="1" s="1"/>
  <c r="Q749" i="1" s="1"/>
  <c r="H750" i="1"/>
  <c r="O750" i="1" s="1"/>
  <c r="P750" i="1" s="1"/>
  <c r="Q750" i="1" s="1"/>
  <c r="H751" i="1"/>
  <c r="O751" i="1" s="1"/>
  <c r="P751" i="1" s="1"/>
  <c r="Q751" i="1" s="1"/>
  <c r="H752" i="1"/>
  <c r="O752" i="1" s="1"/>
  <c r="P752" i="1" s="1"/>
  <c r="Q752" i="1" s="1"/>
  <c r="H753" i="1"/>
  <c r="O753" i="1" s="1"/>
  <c r="P753" i="1" s="1"/>
  <c r="Q753" i="1" s="1"/>
  <c r="H754" i="1"/>
  <c r="O754" i="1" s="1"/>
  <c r="P754" i="1" s="1"/>
  <c r="Q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O760" i="1" s="1"/>
  <c r="P760" i="1" s="1"/>
  <c r="Q760" i="1" s="1"/>
  <c r="H761" i="1"/>
  <c r="O761" i="1" s="1"/>
  <c r="P761" i="1" s="1"/>
  <c r="Q761" i="1" s="1"/>
  <c r="H762" i="1"/>
  <c r="O762" i="1" s="1"/>
  <c r="P762" i="1" s="1"/>
  <c r="Q762" i="1" s="1"/>
  <c r="H763" i="1"/>
  <c r="O763" i="1" s="1"/>
  <c r="P763" i="1" s="1"/>
  <c r="Q763" i="1" s="1"/>
  <c r="H764" i="1"/>
  <c r="O764" i="1" s="1"/>
  <c r="P764" i="1" s="1"/>
  <c r="Q764" i="1" s="1"/>
  <c r="H765" i="1"/>
  <c r="O765" i="1" s="1"/>
  <c r="P765" i="1" s="1"/>
  <c r="Q765" i="1" s="1"/>
  <c r="H766" i="1"/>
  <c r="O766" i="1" s="1"/>
  <c r="P766" i="1" s="1"/>
  <c r="Q766" i="1" s="1"/>
  <c r="H767" i="1"/>
  <c r="O767" i="1" s="1"/>
  <c r="P767" i="1" s="1"/>
  <c r="Q767" i="1" s="1"/>
  <c r="H768" i="1"/>
  <c r="O768" i="1" s="1"/>
  <c r="P768" i="1" s="1"/>
  <c r="Q768" i="1" s="1"/>
  <c r="H769" i="1"/>
  <c r="O769" i="1" s="1"/>
  <c r="P769" i="1" s="1"/>
  <c r="Q769" i="1" s="1"/>
  <c r="H770" i="1"/>
  <c r="O770" i="1" s="1"/>
  <c r="P770" i="1" s="1"/>
  <c r="Q770" i="1" s="1"/>
  <c r="H771" i="1"/>
  <c r="O771" i="1" s="1"/>
  <c r="P771" i="1" s="1"/>
  <c r="Q771" i="1" s="1"/>
  <c r="H772" i="1"/>
  <c r="H773" i="1"/>
  <c r="O773" i="1" s="1"/>
  <c r="P773" i="1" s="1"/>
  <c r="Q773" i="1" s="1"/>
  <c r="H774" i="1"/>
  <c r="O774" i="1" s="1"/>
  <c r="P774" i="1" s="1"/>
  <c r="Q774" i="1" s="1"/>
  <c r="H775" i="1"/>
  <c r="O775" i="1" s="1"/>
  <c r="P775" i="1" s="1"/>
  <c r="Q775" i="1" s="1"/>
  <c r="H776" i="1"/>
  <c r="O776" i="1" s="1"/>
  <c r="P776" i="1" s="1"/>
  <c r="Q776" i="1" s="1"/>
  <c r="H777" i="1"/>
  <c r="O777" i="1" s="1"/>
  <c r="P777" i="1" s="1"/>
  <c r="Q777" i="1" s="1"/>
  <c r="H778" i="1"/>
  <c r="O778" i="1" s="1"/>
  <c r="P778" i="1" s="1"/>
  <c r="Q778" i="1" s="1"/>
  <c r="H779" i="1"/>
  <c r="I779" i="1" s="1"/>
  <c r="H780" i="1"/>
  <c r="O780" i="1" s="1"/>
  <c r="P780" i="1" s="1"/>
  <c r="Q780" i="1" s="1"/>
  <c r="H781" i="1"/>
  <c r="I781" i="1" s="1"/>
  <c r="H782" i="1"/>
  <c r="I782" i="1" s="1"/>
  <c r="H783" i="1"/>
  <c r="I783" i="1" s="1"/>
  <c r="H784" i="1"/>
  <c r="O784" i="1" s="1"/>
  <c r="P784" i="1" s="1"/>
  <c r="Q784" i="1" s="1"/>
  <c r="H785" i="1"/>
  <c r="O785" i="1" s="1"/>
  <c r="P785" i="1" s="1"/>
  <c r="Q785" i="1" s="1"/>
  <c r="H786" i="1"/>
  <c r="O786" i="1" s="1"/>
  <c r="P786" i="1" s="1"/>
  <c r="Q786" i="1" s="1"/>
  <c r="H787" i="1"/>
  <c r="O787" i="1" s="1"/>
  <c r="P787" i="1" s="1"/>
  <c r="Q787" i="1" s="1"/>
  <c r="H788" i="1"/>
  <c r="O788" i="1" s="1"/>
  <c r="P788" i="1" s="1"/>
  <c r="Q788" i="1" s="1"/>
  <c r="H789" i="1"/>
  <c r="O789" i="1" s="1"/>
  <c r="P789" i="1" s="1"/>
  <c r="Q789" i="1" s="1"/>
  <c r="H790" i="1"/>
  <c r="O790" i="1" s="1"/>
  <c r="P790" i="1" s="1"/>
  <c r="Q790" i="1" s="1"/>
  <c r="H791" i="1"/>
  <c r="I791" i="1" s="1"/>
  <c r="H792" i="1"/>
  <c r="I792" i="1" s="1"/>
  <c r="H793" i="1"/>
  <c r="O793" i="1" s="1"/>
  <c r="P793" i="1" s="1"/>
  <c r="Q793" i="1" s="1"/>
  <c r="H794" i="1"/>
  <c r="O794" i="1" s="1"/>
  <c r="P794" i="1" s="1"/>
  <c r="Q794" i="1" s="1"/>
  <c r="H795" i="1"/>
  <c r="O795" i="1" s="1"/>
  <c r="P795" i="1" s="1"/>
  <c r="Q795" i="1" s="1"/>
  <c r="H796" i="1"/>
  <c r="H797" i="1"/>
  <c r="O797" i="1" s="1"/>
  <c r="P797" i="1" s="1"/>
  <c r="Q797" i="1" s="1"/>
  <c r="H798" i="1"/>
  <c r="O798" i="1" s="1"/>
  <c r="P798" i="1" s="1"/>
  <c r="Q798" i="1" s="1"/>
  <c r="H799" i="1"/>
  <c r="O799" i="1" s="1"/>
  <c r="P799" i="1" s="1"/>
  <c r="Q799" i="1" s="1"/>
  <c r="H800" i="1"/>
  <c r="O800" i="1" s="1"/>
  <c r="P800" i="1" s="1"/>
  <c r="Q800" i="1" s="1"/>
  <c r="H801" i="1"/>
  <c r="O801" i="1" s="1"/>
  <c r="P801" i="1" s="1"/>
  <c r="Q801" i="1" s="1"/>
  <c r="H802" i="1"/>
  <c r="O802" i="1" s="1"/>
  <c r="P802" i="1" s="1"/>
  <c r="Q802" i="1" s="1"/>
  <c r="H803" i="1"/>
  <c r="O803" i="1" s="1"/>
  <c r="P803" i="1" s="1"/>
  <c r="Q803" i="1" s="1"/>
  <c r="H804" i="1"/>
  <c r="K804" i="1" s="1"/>
  <c r="H805" i="1"/>
  <c r="I805" i="1" s="1"/>
  <c r="H806" i="1"/>
  <c r="O806" i="1" s="1"/>
  <c r="P806" i="1" s="1"/>
  <c r="Q806" i="1" s="1"/>
  <c r="H807" i="1"/>
  <c r="O807" i="1" s="1"/>
  <c r="P807" i="1" s="1"/>
  <c r="Q807" i="1" s="1"/>
  <c r="H808" i="1"/>
  <c r="O808" i="1" s="1"/>
  <c r="P808" i="1" s="1"/>
  <c r="Q808" i="1" s="1"/>
  <c r="H809" i="1"/>
  <c r="O809" i="1" s="1"/>
  <c r="P809" i="1" s="1"/>
  <c r="Q809" i="1" s="1"/>
  <c r="H810" i="1"/>
  <c r="O810" i="1" s="1"/>
  <c r="P810" i="1" s="1"/>
  <c r="Q810" i="1" s="1"/>
  <c r="H811" i="1"/>
  <c r="O811" i="1" s="1"/>
  <c r="P811" i="1" s="1"/>
  <c r="Q811" i="1" s="1"/>
  <c r="H812" i="1"/>
  <c r="O812" i="1" s="1"/>
  <c r="P812" i="1" s="1"/>
  <c r="Q812" i="1" s="1"/>
  <c r="H813" i="1"/>
  <c r="O813" i="1" s="1"/>
  <c r="P813" i="1" s="1"/>
  <c r="Q813" i="1" s="1"/>
  <c r="H814" i="1"/>
  <c r="O814" i="1" s="1"/>
  <c r="P814" i="1" s="1"/>
  <c r="Q814" i="1" s="1"/>
  <c r="H815" i="1"/>
  <c r="O815" i="1" s="1"/>
  <c r="P815" i="1" s="1"/>
  <c r="Q815" i="1" s="1"/>
  <c r="H816" i="1"/>
  <c r="O816" i="1" s="1"/>
  <c r="P816" i="1" s="1"/>
  <c r="Q816" i="1" s="1"/>
  <c r="H817" i="1"/>
  <c r="I817" i="1" s="1"/>
  <c r="H818" i="1"/>
  <c r="I818" i="1" s="1"/>
  <c r="H819" i="1"/>
  <c r="O819" i="1" s="1"/>
  <c r="P819" i="1" s="1"/>
  <c r="Q819" i="1" s="1"/>
  <c r="H820" i="1"/>
  <c r="H821" i="1"/>
  <c r="O821" i="1" s="1"/>
  <c r="P821" i="1" s="1"/>
  <c r="Q821" i="1" s="1"/>
  <c r="H822" i="1"/>
  <c r="O822" i="1" s="1"/>
  <c r="P822" i="1" s="1"/>
  <c r="Q822" i="1" s="1"/>
  <c r="H823" i="1"/>
  <c r="O823" i="1" s="1"/>
  <c r="P823" i="1" s="1"/>
  <c r="Q823" i="1" s="1"/>
  <c r="H824" i="1"/>
  <c r="O824" i="1" s="1"/>
  <c r="P824" i="1" s="1"/>
  <c r="Q824" i="1" s="1"/>
  <c r="H825" i="1"/>
  <c r="O825" i="1" s="1"/>
  <c r="P825" i="1" s="1"/>
  <c r="Q825" i="1" s="1"/>
  <c r="H826" i="1"/>
  <c r="O826" i="1" s="1"/>
  <c r="P826" i="1" s="1"/>
  <c r="Q826" i="1" s="1"/>
  <c r="H827" i="1"/>
  <c r="O827" i="1" s="1"/>
  <c r="P827" i="1" s="1"/>
  <c r="Q827" i="1" s="1"/>
  <c r="H828" i="1"/>
  <c r="O828" i="1" s="1"/>
  <c r="P828" i="1" s="1"/>
  <c r="Q828" i="1" s="1"/>
  <c r="H829" i="1"/>
  <c r="O829" i="1" s="1"/>
  <c r="P829" i="1" s="1"/>
  <c r="Q829" i="1" s="1"/>
  <c r="H830" i="1"/>
  <c r="O830" i="1" s="1"/>
  <c r="P830" i="1" s="1"/>
  <c r="Q830" i="1" s="1"/>
  <c r="H831" i="1"/>
  <c r="O831" i="1" s="1"/>
  <c r="P831" i="1" s="1"/>
  <c r="Q831" i="1" s="1"/>
  <c r="H832" i="1"/>
  <c r="O832" i="1" s="1"/>
  <c r="P832" i="1" s="1"/>
  <c r="Q832" i="1" s="1"/>
  <c r="H833" i="1"/>
  <c r="O833" i="1" s="1"/>
  <c r="P833" i="1" s="1"/>
  <c r="Q833" i="1" s="1"/>
  <c r="H834" i="1"/>
  <c r="O834" i="1" s="1"/>
  <c r="P834" i="1" s="1"/>
  <c r="Q834" i="1" s="1"/>
  <c r="H835" i="1"/>
  <c r="O835" i="1" s="1"/>
  <c r="P835" i="1" s="1"/>
  <c r="Q835" i="1" s="1"/>
  <c r="H836" i="1"/>
  <c r="O836" i="1" s="1"/>
  <c r="P836" i="1" s="1"/>
  <c r="Q836" i="1" s="1"/>
  <c r="H837" i="1"/>
  <c r="O837" i="1" s="1"/>
  <c r="P837" i="1" s="1"/>
  <c r="Q837" i="1" s="1"/>
  <c r="H838" i="1"/>
  <c r="O838" i="1" s="1"/>
  <c r="P838" i="1" s="1"/>
  <c r="Q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H845" i="1"/>
  <c r="O845" i="1" s="1"/>
  <c r="P845" i="1" s="1"/>
  <c r="Q845" i="1" s="1"/>
  <c r="H846" i="1"/>
  <c r="O846" i="1" s="1"/>
  <c r="P846" i="1" s="1"/>
  <c r="Q846" i="1" s="1"/>
  <c r="H847" i="1"/>
  <c r="O847" i="1" s="1"/>
  <c r="P847" i="1" s="1"/>
  <c r="Q847" i="1" s="1"/>
  <c r="H848" i="1"/>
  <c r="O848" i="1" s="1"/>
  <c r="P848" i="1" s="1"/>
  <c r="Q848" i="1" s="1"/>
  <c r="H849" i="1"/>
  <c r="O849" i="1" s="1"/>
  <c r="P849" i="1" s="1"/>
  <c r="Q849" i="1" s="1"/>
  <c r="H850" i="1"/>
  <c r="O850" i="1" s="1"/>
  <c r="P850" i="1" s="1"/>
  <c r="Q850" i="1" s="1"/>
  <c r="H851" i="1"/>
  <c r="I851" i="1" s="1"/>
  <c r="H852" i="1"/>
  <c r="O852" i="1" s="1"/>
  <c r="P852" i="1" s="1"/>
  <c r="Q852" i="1" s="1"/>
  <c r="H853" i="1"/>
  <c r="O853" i="1" s="1"/>
  <c r="P853" i="1" s="1"/>
  <c r="Q853" i="1" s="1"/>
  <c r="H854" i="1"/>
  <c r="O854" i="1" s="1"/>
  <c r="P854" i="1" s="1"/>
  <c r="Q854" i="1" s="1"/>
  <c r="H855" i="1"/>
  <c r="O855" i="1" s="1"/>
  <c r="P855" i="1" s="1"/>
  <c r="Q855" i="1" s="1"/>
  <c r="H856" i="1"/>
  <c r="O856" i="1" s="1"/>
  <c r="P856" i="1" s="1"/>
  <c r="Q856" i="1" s="1"/>
  <c r="H857" i="1"/>
  <c r="H858" i="1"/>
  <c r="O858" i="1" s="1"/>
  <c r="P858" i="1" s="1"/>
  <c r="Q858" i="1" s="1"/>
  <c r="H859" i="1"/>
  <c r="O859" i="1" s="1"/>
  <c r="P859" i="1" s="1"/>
  <c r="Q859" i="1" s="1"/>
  <c r="H860" i="1"/>
  <c r="O860" i="1" s="1"/>
  <c r="P860" i="1" s="1"/>
  <c r="Q860" i="1" s="1"/>
  <c r="H861" i="1"/>
  <c r="O861" i="1" s="1"/>
  <c r="P861" i="1" s="1"/>
  <c r="Q861" i="1" s="1"/>
  <c r="H862" i="1"/>
  <c r="O862" i="1" s="1"/>
  <c r="P862" i="1" s="1"/>
  <c r="Q862" i="1" s="1"/>
  <c r="H863" i="1"/>
  <c r="O863" i="1" s="1"/>
  <c r="P863" i="1" s="1"/>
  <c r="Q863" i="1" s="1"/>
  <c r="H864" i="1"/>
  <c r="O864" i="1" s="1"/>
  <c r="P864" i="1" s="1"/>
  <c r="Q864" i="1" s="1"/>
  <c r="H865" i="1"/>
  <c r="I865" i="1" s="1"/>
  <c r="H866" i="1"/>
  <c r="O866" i="1" s="1"/>
  <c r="P866" i="1" s="1"/>
  <c r="Q866" i="1" s="1"/>
  <c r="H867" i="1"/>
  <c r="O867" i="1" s="1"/>
  <c r="P867" i="1" s="1"/>
  <c r="Q867" i="1" s="1"/>
  <c r="H868" i="1"/>
  <c r="H869" i="1"/>
  <c r="O869" i="1" s="1"/>
  <c r="P869" i="1" s="1"/>
  <c r="Q869" i="1" s="1"/>
  <c r="H870" i="1"/>
  <c r="O870" i="1" s="1"/>
  <c r="P870" i="1" s="1"/>
  <c r="Q870" i="1" s="1"/>
  <c r="H871" i="1"/>
  <c r="O871" i="1" s="1"/>
  <c r="P871" i="1" s="1"/>
  <c r="Q871" i="1" s="1"/>
  <c r="H872" i="1"/>
  <c r="O872" i="1" s="1"/>
  <c r="P872" i="1" s="1"/>
  <c r="Q872" i="1" s="1"/>
  <c r="H873" i="1"/>
  <c r="O873" i="1" s="1"/>
  <c r="P873" i="1" s="1"/>
  <c r="Q873" i="1" s="1"/>
  <c r="H874" i="1"/>
  <c r="O874" i="1" s="1"/>
  <c r="P874" i="1" s="1"/>
  <c r="Q874" i="1" s="1"/>
  <c r="H875" i="1"/>
  <c r="I875" i="1" s="1"/>
  <c r="H876" i="1"/>
  <c r="I876" i="1" s="1"/>
  <c r="H877" i="1"/>
  <c r="I877" i="1" s="1"/>
  <c r="H878" i="1"/>
  <c r="O878" i="1" s="1"/>
  <c r="P878" i="1" s="1"/>
  <c r="Q878" i="1" s="1"/>
  <c r="H879" i="1"/>
  <c r="O879" i="1" s="1"/>
  <c r="P879" i="1" s="1"/>
  <c r="Q879" i="1" s="1"/>
  <c r="H880" i="1"/>
  <c r="O880" i="1" s="1"/>
  <c r="P880" i="1" s="1"/>
  <c r="Q880" i="1" s="1"/>
  <c r="H881" i="1"/>
  <c r="O881" i="1" s="1"/>
  <c r="P881" i="1" s="1"/>
  <c r="Q881" i="1" s="1"/>
  <c r="H882" i="1"/>
  <c r="O882" i="1" s="1"/>
  <c r="P882" i="1" s="1"/>
  <c r="Q882" i="1" s="1"/>
  <c r="H883" i="1"/>
  <c r="O883" i="1" s="1"/>
  <c r="P883" i="1" s="1"/>
  <c r="Q883" i="1" s="1"/>
  <c r="H884" i="1"/>
  <c r="O884" i="1" s="1"/>
  <c r="P884" i="1" s="1"/>
  <c r="Q884" i="1" s="1"/>
  <c r="H885" i="1"/>
  <c r="O885" i="1" s="1"/>
  <c r="P885" i="1" s="1"/>
  <c r="Q885" i="1" s="1"/>
  <c r="H886" i="1"/>
  <c r="O886" i="1" s="1"/>
  <c r="P886" i="1" s="1"/>
  <c r="Q886" i="1" s="1"/>
  <c r="H887" i="1"/>
  <c r="O887" i="1" s="1"/>
  <c r="P887" i="1" s="1"/>
  <c r="Q887" i="1" s="1"/>
  <c r="H888" i="1"/>
  <c r="O888" i="1" s="1"/>
  <c r="P888" i="1" s="1"/>
  <c r="Q888" i="1" s="1"/>
  <c r="H889" i="1"/>
  <c r="O889" i="1" s="1"/>
  <c r="P889" i="1" s="1"/>
  <c r="Q889" i="1" s="1"/>
  <c r="H890" i="1"/>
  <c r="O890" i="1" s="1"/>
  <c r="P890" i="1" s="1"/>
  <c r="Q890" i="1" s="1"/>
  <c r="H891" i="1"/>
  <c r="O891" i="1" s="1"/>
  <c r="P891" i="1" s="1"/>
  <c r="Q891" i="1" s="1"/>
  <c r="H892" i="1"/>
  <c r="H893" i="1"/>
  <c r="O893" i="1" s="1"/>
  <c r="P893" i="1" s="1"/>
  <c r="Q893" i="1" s="1"/>
  <c r="H894" i="1"/>
  <c r="O894" i="1" s="1"/>
  <c r="P894" i="1" s="1"/>
  <c r="Q894" i="1" s="1"/>
  <c r="H895" i="1"/>
  <c r="O895" i="1" s="1"/>
  <c r="P895" i="1" s="1"/>
  <c r="Q895" i="1" s="1"/>
  <c r="H896" i="1"/>
  <c r="O896" i="1" s="1"/>
  <c r="P896" i="1" s="1"/>
  <c r="Q896" i="1" s="1"/>
  <c r="H897" i="1"/>
  <c r="O897" i="1" s="1"/>
  <c r="P897" i="1" s="1"/>
  <c r="Q897" i="1" s="1"/>
  <c r="H898" i="1"/>
  <c r="O898" i="1" s="1"/>
  <c r="P898" i="1" s="1"/>
  <c r="Q898" i="1" s="1"/>
  <c r="H899" i="1"/>
  <c r="O899" i="1" s="1"/>
  <c r="P899" i="1" s="1"/>
  <c r="Q899" i="1" s="1"/>
  <c r="H900" i="1"/>
  <c r="I900" i="1" s="1"/>
  <c r="H901" i="1"/>
  <c r="I901" i="1" s="1"/>
  <c r="H902" i="1"/>
  <c r="I902" i="1" s="1"/>
  <c r="H903" i="1"/>
  <c r="I903" i="1" s="1"/>
  <c r="H904" i="1"/>
  <c r="O904" i="1" s="1"/>
  <c r="P904" i="1" s="1"/>
  <c r="Q904" i="1" s="1"/>
  <c r="H905" i="1"/>
  <c r="O905" i="1" s="1"/>
  <c r="P905" i="1" s="1"/>
  <c r="Q905" i="1" s="1"/>
  <c r="H906" i="1"/>
  <c r="O906" i="1" s="1"/>
  <c r="P906" i="1" s="1"/>
  <c r="Q906" i="1" s="1"/>
  <c r="H907" i="1"/>
  <c r="O907" i="1" s="1"/>
  <c r="P907" i="1" s="1"/>
  <c r="Q907" i="1" s="1"/>
  <c r="H908" i="1"/>
  <c r="O908" i="1" s="1"/>
  <c r="P908" i="1" s="1"/>
  <c r="Q908" i="1" s="1"/>
  <c r="H909" i="1"/>
  <c r="O909" i="1" s="1"/>
  <c r="P909" i="1" s="1"/>
  <c r="Q909" i="1" s="1"/>
  <c r="H910" i="1"/>
  <c r="O910" i="1" s="1"/>
  <c r="P910" i="1" s="1"/>
  <c r="Q910" i="1" s="1"/>
  <c r="H911" i="1"/>
  <c r="O911" i="1" s="1"/>
  <c r="P911" i="1" s="1"/>
  <c r="Q911" i="1" s="1"/>
  <c r="H912" i="1"/>
  <c r="O912" i="1" s="1"/>
  <c r="P912" i="1" s="1"/>
  <c r="Q912" i="1" s="1"/>
  <c r="H913" i="1"/>
  <c r="O913" i="1" s="1"/>
  <c r="P913" i="1" s="1"/>
  <c r="Q913" i="1" s="1"/>
  <c r="H914" i="1"/>
  <c r="O914" i="1" s="1"/>
  <c r="P914" i="1" s="1"/>
  <c r="Q914" i="1" s="1"/>
  <c r="H915" i="1"/>
  <c r="O915" i="1" s="1"/>
  <c r="P915" i="1" s="1"/>
  <c r="Q915" i="1" s="1"/>
  <c r="H916" i="1"/>
  <c r="H917" i="1"/>
  <c r="O917" i="1" s="1"/>
  <c r="P917" i="1" s="1"/>
  <c r="Q917" i="1" s="1"/>
  <c r="H918" i="1"/>
  <c r="O918" i="1" s="1"/>
  <c r="P918" i="1" s="1"/>
  <c r="Q918" i="1" s="1"/>
  <c r="H919" i="1"/>
  <c r="O919" i="1" s="1"/>
  <c r="P919" i="1" s="1"/>
  <c r="Q919" i="1" s="1"/>
  <c r="H920" i="1"/>
  <c r="O920" i="1" s="1"/>
  <c r="P920" i="1" s="1"/>
  <c r="Q920" i="1" s="1"/>
  <c r="H921" i="1"/>
  <c r="O921" i="1" s="1"/>
  <c r="P921" i="1" s="1"/>
  <c r="Q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O928" i="1" s="1"/>
  <c r="P928" i="1" s="1"/>
  <c r="Q928" i="1" s="1"/>
  <c r="H929" i="1"/>
  <c r="O929" i="1" s="1"/>
  <c r="P929" i="1" s="1"/>
  <c r="Q929" i="1" s="1"/>
  <c r="H930" i="1"/>
  <c r="O930" i="1" s="1"/>
  <c r="P930" i="1" s="1"/>
  <c r="Q930" i="1" s="1"/>
  <c r="H931" i="1"/>
  <c r="I931" i="1" s="1"/>
  <c r="H932" i="1"/>
  <c r="O932" i="1" s="1"/>
  <c r="P932" i="1" s="1"/>
  <c r="Q932" i="1" s="1"/>
  <c r="H933" i="1"/>
  <c r="O933" i="1" s="1"/>
  <c r="P933" i="1" s="1"/>
  <c r="Q933" i="1" s="1"/>
  <c r="H934" i="1"/>
  <c r="O934" i="1" s="1"/>
  <c r="P934" i="1" s="1"/>
  <c r="Q934" i="1" s="1"/>
  <c r="H935" i="1"/>
  <c r="O935" i="1" s="1"/>
  <c r="P935" i="1" s="1"/>
  <c r="Q935" i="1" s="1"/>
  <c r="H936" i="1"/>
  <c r="O936" i="1" s="1"/>
  <c r="P936" i="1" s="1"/>
  <c r="Q936" i="1" s="1"/>
  <c r="H937" i="1"/>
  <c r="I937" i="1" s="1"/>
  <c r="H938" i="1"/>
  <c r="O938" i="1" s="1"/>
  <c r="P938" i="1" s="1"/>
  <c r="Q938" i="1" s="1"/>
  <c r="H939" i="1"/>
  <c r="O939" i="1" s="1"/>
  <c r="P939" i="1" s="1"/>
  <c r="Q939" i="1" s="1"/>
  <c r="H940" i="1"/>
  <c r="H941" i="1"/>
  <c r="I941" i="1" s="1"/>
  <c r="H942" i="1"/>
  <c r="O942" i="1" s="1"/>
  <c r="P942" i="1" s="1"/>
  <c r="Q942" i="1" s="1"/>
  <c r="H943" i="1"/>
  <c r="I943" i="1" s="1"/>
  <c r="H944" i="1"/>
  <c r="O944" i="1" s="1"/>
  <c r="P944" i="1" s="1"/>
  <c r="Q944" i="1" s="1"/>
  <c r="H945" i="1"/>
  <c r="O945" i="1" s="1"/>
  <c r="P945" i="1" s="1"/>
  <c r="Q945" i="1" s="1"/>
  <c r="H946" i="1"/>
  <c r="O946" i="1" s="1"/>
  <c r="P946" i="1" s="1"/>
  <c r="Q946" i="1" s="1"/>
  <c r="H947" i="1"/>
  <c r="O947" i="1" s="1"/>
  <c r="P947" i="1" s="1"/>
  <c r="Q947" i="1" s="1"/>
  <c r="H948" i="1"/>
  <c r="O948" i="1" s="1"/>
  <c r="P948" i="1" s="1"/>
  <c r="Q948" i="1" s="1"/>
  <c r="H949" i="1"/>
  <c r="O949" i="1" s="1"/>
  <c r="P949" i="1" s="1"/>
  <c r="Q949" i="1" s="1"/>
  <c r="H950" i="1"/>
  <c r="O950" i="1" s="1"/>
  <c r="P950" i="1" s="1"/>
  <c r="Q950" i="1" s="1"/>
  <c r="H951" i="1"/>
  <c r="O951" i="1" s="1"/>
  <c r="P951" i="1" s="1"/>
  <c r="Q951" i="1" s="1"/>
  <c r="H952" i="1"/>
  <c r="O952" i="1" s="1"/>
  <c r="P952" i="1" s="1"/>
  <c r="Q952" i="1" s="1"/>
  <c r="H953" i="1"/>
  <c r="I953" i="1" s="1"/>
  <c r="H954" i="1"/>
  <c r="O954" i="1" s="1"/>
  <c r="P954" i="1" s="1"/>
  <c r="Q954" i="1" s="1"/>
  <c r="H955" i="1"/>
  <c r="I955" i="1" s="1"/>
  <c r="H956" i="1"/>
  <c r="O956" i="1" s="1"/>
  <c r="P956" i="1" s="1"/>
  <c r="Q956" i="1" s="1"/>
  <c r="H957" i="1"/>
  <c r="O957" i="1" s="1"/>
  <c r="P957" i="1" s="1"/>
  <c r="Q957" i="1" s="1"/>
  <c r="H958" i="1"/>
  <c r="I958" i="1" s="1"/>
  <c r="H959" i="1"/>
  <c r="I959" i="1" s="1"/>
  <c r="H960" i="1"/>
  <c r="I960" i="1" s="1"/>
  <c r="H961" i="1"/>
  <c r="O961" i="1" s="1"/>
  <c r="P961" i="1" s="1"/>
  <c r="Q961" i="1" s="1"/>
  <c r="H962" i="1"/>
  <c r="O962" i="1" s="1"/>
  <c r="P962" i="1" s="1"/>
  <c r="Q962" i="1" s="1"/>
  <c r="H963" i="1"/>
  <c r="O963" i="1" s="1"/>
  <c r="P963" i="1" s="1"/>
  <c r="Q963" i="1" s="1"/>
  <c r="H964" i="1"/>
  <c r="H965" i="1"/>
  <c r="O965" i="1" s="1"/>
  <c r="P965" i="1" s="1"/>
  <c r="Q965" i="1" s="1"/>
  <c r="H966" i="1"/>
  <c r="O966" i="1" s="1"/>
  <c r="P966" i="1" s="1"/>
  <c r="Q966" i="1" s="1"/>
  <c r="H967" i="1"/>
  <c r="I967" i="1" s="1"/>
  <c r="H968" i="1"/>
  <c r="O968" i="1" s="1"/>
  <c r="P968" i="1" s="1"/>
  <c r="Q968" i="1" s="1"/>
  <c r="H969" i="1"/>
  <c r="O969" i="1" s="1"/>
  <c r="P969" i="1" s="1"/>
  <c r="Q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O976" i="1" s="1"/>
  <c r="P976" i="1" s="1"/>
  <c r="Q976" i="1" s="1"/>
  <c r="H977" i="1"/>
  <c r="O977" i="1" s="1"/>
  <c r="P977" i="1" s="1"/>
  <c r="Q977" i="1" s="1"/>
  <c r="H978" i="1"/>
  <c r="O978" i="1" s="1"/>
  <c r="P978" i="1" s="1"/>
  <c r="Q978" i="1" s="1"/>
  <c r="H979" i="1"/>
  <c r="I979" i="1" s="1"/>
  <c r="H980" i="1"/>
  <c r="O980" i="1" s="1"/>
  <c r="P980" i="1" s="1"/>
  <c r="Q980" i="1" s="1"/>
  <c r="H981" i="1"/>
  <c r="O981" i="1" s="1"/>
  <c r="P981" i="1" s="1"/>
  <c r="Q981" i="1" s="1"/>
  <c r="H982" i="1"/>
  <c r="O982" i="1" s="1"/>
  <c r="P982" i="1" s="1"/>
  <c r="Q982" i="1" s="1"/>
  <c r="H983" i="1"/>
  <c r="O983" i="1" s="1"/>
  <c r="P983" i="1" s="1"/>
  <c r="Q983" i="1" s="1"/>
  <c r="H984" i="1"/>
  <c r="O984" i="1" s="1"/>
  <c r="P984" i="1" s="1"/>
  <c r="Q984" i="1" s="1"/>
  <c r="H985" i="1"/>
  <c r="I985" i="1" s="1"/>
  <c r="H986" i="1"/>
  <c r="O986" i="1" s="1"/>
  <c r="P986" i="1" s="1"/>
  <c r="Q986" i="1" s="1"/>
  <c r="H987" i="1"/>
  <c r="O987" i="1" s="1"/>
  <c r="P987" i="1" s="1"/>
  <c r="Q987" i="1" s="1"/>
  <c r="H988" i="1"/>
  <c r="H989" i="1"/>
  <c r="I989" i="1" s="1"/>
  <c r="H990" i="1"/>
  <c r="O990" i="1" s="1"/>
  <c r="P990" i="1" s="1"/>
  <c r="Q990" i="1" s="1"/>
  <c r="H991" i="1"/>
  <c r="I991" i="1" s="1"/>
  <c r="H992" i="1"/>
  <c r="O992" i="1" s="1"/>
  <c r="P992" i="1" s="1"/>
  <c r="Q992" i="1" s="1"/>
  <c r="H993" i="1"/>
  <c r="O993" i="1" s="1"/>
  <c r="P993" i="1" s="1"/>
  <c r="Q993" i="1" s="1"/>
  <c r="H994" i="1"/>
  <c r="O994" i="1" s="1"/>
  <c r="P994" i="1" s="1"/>
  <c r="Q994" i="1" s="1"/>
  <c r="H995" i="1"/>
  <c r="O995" i="1" s="1"/>
  <c r="P995" i="1" s="1"/>
  <c r="Q995" i="1" s="1"/>
  <c r="H996" i="1"/>
  <c r="O996" i="1" s="1"/>
  <c r="P996" i="1" s="1"/>
  <c r="Q996" i="1" s="1"/>
  <c r="H997" i="1"/>
  <c r="O997" i="1" s="1"/>
  <c r="P997" i="1" s="1"/>
  <c r="Q997" i="1" s="1"/>
  <c r="H998" i="1"/>
  <c r="O998" i="1" s="1"/>
  <c r="P998" i="1" s="1"/>
  <c r="Q998" i="1" s="1"/>
  <c r="H999" i="1"/>
  <c r="O999" i="1" s="1"/>
  <c r="P999" i="1" s="1"/>
  <c r="Q999" i="1" s="1"/>
  <c r="H1000" i="1"/>
  <c r="O1000" i="1" s="1"/>
  <c r="P1000" i="1" s="1"/>
  <c r="Q1000" i="1" s="1"/>
  <c r="H1001" i="1"/>
  <c r="I1001" i="1" s="1"/>
  <c r="H2" i="1"/>
  <c r="O2" i="1" s="1"/>
  <c r="P2" i="1" s="1"/>
  <c r="Q2" i="1" s="1"/>
  <c r="I899" i="1" l="1"/>
  <c r="O903" i="1"/>
  <c r="P903" i="1" s="1"/>
  <c r="Q903" i="1" s="1"/>
  <c r="O759" i="1"/>
  <c r="P759" i="1" s="1"/>
  <c r="Q759" i="1" s="1"/>
  <c r="O288" i="1"/>
  <c r="P288" i="1" s="1"/>
  <c r="Q288" i="1" s="1"/>
  <c r="O144" i="1"/>
  <c r="P144" i="1" s="1"/>
  <c r="Q144" i="1" s="1"/>
  <c r="O989" i="1"/>
  <c r="P989" i="1" s="1"/>
  <c r="Q989" i="1" s="1"/>
  <c r="O941" i="1"/>
  <c r="P941" i="1" s="1"/>
  <c r="Q941" i="1" s="1"/>
  <c r="O843" i="1"/>
  <c r="P843" i="1" s="1"/>
  <c r="Q843" i="1" s="1"/>
  <c r="O252" i="1"/>
  <c r="P252" i="1" s="1"/>
  <c r="Q252" i="1" s="1"/>
  <c r="O674" i="1"/>
  <c r="P674" i="1" s="1"/>
  <c r="Q674" i="1" s="1"/>
  <c r="O352" i="1"/>
  <c r="P352" i="1" s="1"/>
  <c r="Q352" i="1" s="1"/>
  <c r="O975" i="1"/>
  <c r="P975" i="1" s="1"/>
  <c r="Q975" i="1" s="1"/>
  <c r="O927" i="1"/>
  <c r="P927" i="1" s="1"/>
  <c r="Q927" i="1" s="1"/>
  <c r="O783" i="1"/>
  <c r="P783" i="1" s="1"/>
  <c r="Q783" i="1" s="1"/>
  <c r="O216" i="1"/>
  <c r="P216" i="1" s="1"/>
  <c r="Q216" i="1" s="1"/>
  <c r="O180" i="1"/>
  <c r="P180" i="1" s="1"/>
  <c r="Q180" i="1" s="1"/>
  <c r="O1001" i="1"/>
  <c r="P1001" i="1" s="1"/>
  <c r="Q1001" i="1" s="1"/>
  <c r="O953" i="1"/>
  <c r="P953" i="1" s="1"/>
  <c r="Q953" i="1" s="1"/>
  <c r="O857" i="1"/>
  <c r="P857" i="1" s="1"/>
  <c r="Q857" i="1" s="1"/>
  <c r="O41" i="1"/>
  <c r="P41" i="1" s="1"/>
  <c r="Q41" i="1" s="1"/>
  <c r="O721" i="1"/>
  <c r="P721" i="1" s="1"/>
  <c r="Q721" i="1" s="1"/>
  <c r="I96" i="1"/>
  <c r="J96" i="1" s="1"/>
  <c r="O96" i="1"/>
  <c r="P96" i="1" s="1"/>
  <c r="Q96" i="1" s="1"/>
  <c r="I24" i="1"/>
  <c r="O24" i="1"/>
  <c r="P24" i="1" s="1"/>
  <c r="Q24" i="1" s="1"/>
  <c r="I731" i="1"/>
  <c r="O731" i="1"/>
  <c r="P731" i="1" s="1"/>
  <c r="Q731" i="1" s="1"/>
  <c r="O480" i="1"/>
  <c r="P480" i="1" s="1"/>
  <c r="Q480" i="1" s="1"/>
  <c r="O432" i="1"/>
  <c r="P432" i="1" s="1"/>
  <c r="Q432" i="1" s="1"/>
  <c r="O178" i="1"/>
  <c r="P178" i="1" s="1"/>
  <c r="Q178" i="1" s="1"/>
  <c r="O166" i="1"/>
  <c r="P166" i="1" s="1"/>
  <c r="Q166" i="1" s="1"/>
  <c r="O154" i="1"/>
  <c r="P154" i="1" s="1"/>
  <c r="Q154" i="1" s="1"/>
  <c r="O142" i="1"/>
  <c r="P142" i="1" s="1"/>
  <c r="Q142" i="1" s="1"/>
  <c r="O130" i="1"/>
  <c r="P130" i="1" s="1"/>
  <c r="Q130" i="1" s="1"/>
  <c r="O118" i="1"/>
  <c r="P118" i="1" s="1"/>
  <c r="Q118" i="1" s="1"/>
  <c r="O106" i="1"/>
  <c r="P106" i="1" s="1"/>
  <c r="Q106" i="1" s="1"/>
  <c r="O94" i="1"/>
  <c r="P94" i="1" s="1"/>
  <c r="Q94" i="1" s="1"/>
  <c r="O82" i="1"/>
  <c r="P82" i="1" s="1"/>
  <c r="Q82" i="1" s="1"/>
  <c r="O70" i="1"/>
  <c r="P70" i="1" s="1"/>
  <c r="Q70" i="1" s="1"/>
  <c r="O58" i="1"/>
  <c r="P58" i="1" s="1"/>
  <c r="Q58" i="1" s="1"/>
  <c r="O46" i="1"/>
  <c r="P46" i="1" s="1"/>
  <c r="Q46" i="1" s="1"/>
  <c r="O34" i="1"/>
  <c r="P34" i="1" s="1"/>
  <c r="Q34" i="1" s="1"/>
  <c r="O22" i="1"/>
  <c r="P22" i="1" s="1"/>
  <c r="Q22" i="1" s="1"/>
  <c r="O10" i="1"/>
  <c r="P10" i="1" s="1"/>
  <c r="Q10" i="1" s="1"/>
  <c r="I816" i="1"/>
  <c r="O974" i="1"/>
  <c r="P974" i="1" s="1"/>
  <c r="Q974" i="1" s="1"/>
  <c r="O926" i="1"/>
  <c r="P926" i="1" s="1"/>
  <c r="Q926" i="1" s="1"/>
  <c r="O902" i="1"/>
  <c r="P902" i="1" s="1"/>
  <c r="Q902" i="1" s="1"/>
  <c r="O842" i="1"/>
  <c r="P842" i="1" s="1"/>
  <c r="Q842" i="1" s="1"/>
  <c r="O818" i="1"/>
  <c r="P818" i="1" s="1"/>
  <c r="Q818" i="1" s="1"/>
  <c r="O782" i="1"/>
  <c r="P782" i="1" s="1"/>
  <c r="Q782" i="1" s="1"/>
  <c r="O758" i="1"/>
  <c r="P758" i="1" s="1"/>
  <c r="Q758" i="1" s="1"/>
  <c r="O733" i="1"/>
  <c r="P733" i="1" s="1"/>
  <c r="Q733" i="1" s="1"/>
  <c r="O381" i="1"/>
  <c r="P381" i="1" s="1"/>
  <c r="Q381" i="1" s="1"/>
  <c r="O316" i="1"/>
  <c r="P316" i="1" s="1"/>
  <c r="Q316" i="1" s="1"/>
  <c r="O280" i="1"/>
  <c r="P280" i="1" s="1"/>
  <c r="Q280" i="1" s="1"/>
  <c r="O244" i="1"/>
  <c r="P244" i="1" s="1"/>
  <c r="Q244" i="1" s="1"/>
  <c r="O208" i="1"/>
  <c r="P208" i="1" s="1"/>
  <c r="Q208" i="1" s="1"/>
  <c r="O172" i="1"/>
  <c r="P172" i="1" s="1"/>
  <c r="Q172" i="1" s="1"/>
  <c r="O973" i="1"/>
  <c r="P973" i="1" s="1"/>
  <c r="Q973" i="1" s="1"/>
  <c r="O925" i="1"/>
  <c r="P925" i="1" s="1"/>
  <c r="Q925" i="1" s="1"/>
  <c r="O901" i="1"/>
  <c r="P901" i="1" s="1"/>
  <c r="Q901" i="1" s="1"/>
  <c r="O877" i="1"/>
  <c r="P877" i="1" s="1"/>
  <c r="Q877" i="1" s="1"/>
  <c r="O805" i="1"/>
  <c r="P805" i="1" s="1"/>
  <c r="Q805" i="1" s="1"/>
  <c r="O781" i="1"/>
  <c r="P781" i="1" s="1"/>
  <c r="Q781" i="1" s="1"/>
  <c r="O757" i="1"/>
  <c r="P757" i="1" s="1"/>
  <c r="Q757" i="1" s="1"/>
  <c r="O732" i="1"/>
  <c r="P732" i="1" s="1"/>
  <c r="Q732" i="1" s="1"/>
  <c r="O312" i="1"/>
  <c r="P312" i="1" s="1"/>
  <c r="Q312" i="1" s="1"/>
  <c r="O276" i="1"/>
  <c r="P276" i="1" s="1"/>
  <c r="Q276" i="1" s="1"/>
  <c r="O240" i="1"/>
  <c r="P240" i="1" s="1"/>
  <c r="Q240" i="1" s="1"/>
  <c r="O204" i="1"/>
  <c r="P204" i="1" s="1"/>
  <c r="Q204" i="1" s="1"/>
  <c r="O168" i="1"/>
  <c r="P168" i="1" s="1"/>
  <c r="Q168" i="1" s="1"/>
  <c r="O132" i="1"/>
  <c r="P132" i="1" s="1"/>
  <c r="Q132" i="1" s="1"/>
  <c r="I108" i="1"/>
  <c r="O108" i="1"/>
  <c r="P108" i="1" s="1"/>
  <c r="Q108" i="1" s="1"/>
  <c r="O985" i="1"/>
  <c r="P985" i="1" s="1"/>
  <c r="Q985" i="1" s="1"/>
  <c r="O937" i="1"/>
  <c r="P937" i="1" s="1"/>
  <c r="Q937" i="1" s="1"/>
  <c r="O865" i="1"/>
  <c r="P865" i="1" s="1"/>
  <c r="Q865" i="1" s="1"/>
  <c r="O841" i="1"/>
  <c r="P841" i="1" s="1"/>
  <c r="Q841" i="1" s="1"/>
  <c r="O817" i="1"/>
  <c r="P817" i="1" s="1"/>
  <c r="Q817" i="1" s="1"/>
  <c r="I780" i="1"/>
  <c r="O972" i="1"/>
  <c r="P972" i="1" s="1"/>
  <c r="Q972" i="1" s="1"/>
  <c r="O960" i="1"/>
  <c r="P960" i="1" s="1"/>
  <c r="Q960" i="1" s="1"/>
  <c r="O924" i="1"/>
  <c r="P924" i="1" s="1"/>
  <c r="Q924" i="1" s="1"/>
  <c r="O900" i="1"/>
  <c r="P900" i="1" s="1"/>
  <c r="Q900" i="1" s="1"/>
  <c r="O876" i="1"/>
  <c r="P876" i="1" s="1"/>
  <c r="Q876" i="1" s="1"/>
  <c r="O840" i="1"/>
  <c r="P840" i="1" s="1"/>
  <c r="Q840" i="1" s="1"/>
  <c r="O804" i="1"/>
  <c r="P804" i="1" s="1"/>
  <c r="Q804" i="1" s="1"/>
  <c r="O792" i="1"/>
  <c r="P792" i="1" s="1"/>
  <c r="Q792" i="1" s="1"/>
  <c r="O756" i="1"/>
  <c r="P756" i="1" s="1"/>
  <c r="Q756" i="1" s="1"/>
  <c r="O699" i="1"/>
  <c r="P699" i="1" s="1"/>
  <c r="Q699" i="1" s="1"/>
  <c r="O603" i="1"/>
  <c r="P603" i="1" s="1"/>
  <c r="Q603" i="1" s="1"/>
  <c r="O588" i="1"/>
  <c r="P588" i="1" s="1"/>
  <c r="Q588" i="1" s="1"/>
  <c r="O507" i="1"/>
  <c r="P507" i="1" s="1"/>
  <c r="Q507" i="1" s="1"/>
  <c r="O492" i="1"/>
  <c r="P492" i="1" s="1"/>
  <c r="Q492" i="1" s="1"/>
  <c r="O444" i="1"/>
  <c r="P444" i="1" s="1"/>
  <c r="Q444" i="1" s="1"/>
  <c r="O396" i="1"/>
  <c r="P396" i="1" s="1"/>
  <c r="Q396" i="1" s="1"/>
  <c r="O348" i="1"/>
  <c r="P348" i="1" s="1"/>
  <c r="Q348" i="1" s="1"/>
  <c r="O40" i="1"/>
  <c r="P40" i="1" s="1"/>
  <c r="Q40" i="1" s="1"/>
  <c r="I72" i="1"/>
  <c r="O72" i="1"/>
  <c r="P72" i="1" s="1"/>
  <c r="Q72" i="1" s="1"/>
  <c r="I671" i="1"/>
  <c r="O671" i="1"/>
  <c r="P671" i="1" s="1"/>
  <c r="Q671" i="1" s="1"/>
  <c r="I309" i="1"/>
  <c r="O309" i="1"/>
  <c r="P309" i="1" s="1"/>
  <c r="Q309" i="1" s="1"/>
  <c r="I815" i="1"/>
  <c r="O971" i="1"/>
  <c r="P971" i="1" s="1"/>
  <c r="Q971" i="1" s="1"/>
  <c r="O959" i="1"/>
  <c r="P959" i="1" s="1"/>
  <c r="Q959" i="1" s="1"/>
  <c r="O923" i="1"/>
  <c r="P923" i="1" s="1"/>
  <c r="Q923" i="1" s="1"/>
  <c r="O875" i="1"/>
  <c r="P875" i="1" s="1"/>
  <c r="Q875" i="1" s="1"/>
  <c r="O851" i="1"/>
  <c r="P851" i="1" s="1"/>
  <c r="Q851" i="1" s="1"/>
  <c r="O839" i="1"/>
  <c r="P839" i="1" s="1"/>
  <c r="Q839" i="1" s="1"/>
  <c r="O791" i="1"/>
  <c r="P791" i="1" s="1"/>
  <c r="Q791" i="1" s="1"/>
  <c r="O779" i="1"/>
  <c r="P779" i="1" s="1"/>
  <c r="Q779" i="1" s="1"/>
  <c r="O755" i="1"/>
  <c r="P755" i="1" s="1"/>
  <c r="Q755" i="1" s="1"/>
  <c r="O713" i="1"/>
  <c r="P713" i="1" s="1"/>
  <c r="Q713" i="1" s="1"/>
  <c r="O698" i="1"/>
  <c r="P698" i="1" s="1"/>
  <c r="Q698" i="1" s="1"/>
  <c r="O569" i="1"/>
  <c r="P569" i="1" s="1"/>
  <c r="Q569" i="1" s="1"/>
  <c r="O425" i="1"/>
  <c r="P425" i="1" s="1"/>
  <c r="Q425" i="1" s="1"/>
  <c r="O345" i="1"/>
  <c r="P345" i="1" s="1"/>
  <c r="Q345" i="1" s="1"/>
  <c r="O329" i="1"/>
  <c r="P329" i="1" s="1"/>
  <c r="Q329" i="1" s="1"/>
  <c r="O269" i="1"/>
  <c r="P269" i="1" s="1"/>
  <c r="Q269" i="1" s="1"/>
  <c r="O233" i="1"/>
  <c r="P233" i="1" s="1"/>
  <c r="Q233" i="1" s="1"/>
  <c r="O197" i="1"/>
  <c r="P197" i="1" s="1"/>
  <c r="Q197" i="1" s="1"/>
  <c r="O161" i="1"/>
  <c r="P161" i="1" s="1"/>
  <c r="Q161" i="1" s="1"/>
  <c r="O125" i="1"/>
  <c r="P125" i="1" s="1"/>
  <c r="Q125" i="1" s="1"/>
  <c r="I60" i="1"/>
  <c r="J60" i="1" s="1"/>
  <c r="O60" i="1"/>
  <c r="P60" i="1" s="1"/>
  <c r="Q60" i="1" s="1"/>
  <c r="I707" i="1"/>
  <c r="O707" i="1"/>
  <c r="P707" i="1" s="1"/>
  <c r="Q707" i="1" s="1"/>
  <c r="O672" i="1"/>
  <c r="P672" i="1" s="1"/>
  <c r="Q672" i="1" s="1"/>
  <c r="O336" i="1"/>
  <c r="P336" i="1" s="1"/>
  <c r="Q336" i="1" s="1"/>
  <c r="O970" i="1"/>
  <c r="P970" i="1" s="1"/>
  <c r="Q970" i="1" s="1"/>
  <c r="O958" i="1"/>
  <c r="P958" i="1" s="1"/>
  <c r="Q958" i="1" s="1"/>
  <c r="O922" i="1"/>
  <c r="P922" i="1" s="1"/>
  <c r="Q922" i="1" s="1"/>
  <c r="O697" i="1"/>
  <c r="P697" i="1" s="1"/>
  <c r="Q697" i="1" s="1"/>
  <c r="O376" i="1"/>
  <c r="P376" i="1" s="1"/>
  <c r="Q376" i="1" s="1"/>
  <c r="O304" i="1"/>
  <c r="P304" i="1" s="1"/>
  <c r="Q304" i="1" s="1"/>
  <c r="O268" i="1"/>
  <c r="P268" i="1" s="1"/>
  <c r="Q268" i="1" s="1"/>
  <c r="O232" i="1"/>
  <c r="P232" i="1" s="1"/>
  <c r="Q232" i="1" s="1"/>
  <c r="O196" i="1"/>
  <c r="P196" i="1" s="1"/>
  <c r="Q196" i="1" s="1"/>
  <c r="O124" i="1"/>
  <c r="P124" i="1" s="1"/>
  <c r="Q124" i="1" s="1"/>
  <c r="O77" i="1"/>
  <c r="P77" i="1" s="1"/>
  <c r="Q77" i="1" s="1"/>
  <c r="O29" i="1"/>
  <c r="P29" i="1" s="1"/>
  <c r="Q29" i="1" s="1"/>
  <c r="I84" i="1"/>
  <c r="O84" i="1"/>
  <c r="P84" i="1" s="1"/>
  <c r="Q84" i="1" s="1"/>
  <c r="I12" i="1"/>
  <c r="J12" i="1" s="1"/>
  <c r="O12" i="1"/>
  <c r="P12" i="1" s="1"/>
  <c r="Q12" i="1" s="1"/>
  <c r="I273" i="1"/>
  <c r="J273" i="1" s="1"/>
  <c r="O273" i="1"/>
  <c r="P273" i="1" s="1"/>
  <c r="Q273" i="1" s="1"/>
  <c r="O696" i="1"/>
  <c r="P696" i="1" s="1"/>
  <c r="Q696" i="1" s="1"/>
  <c r="O600" i="1"/>
  <c r="P600" i="1" s="1"/>
  <c r="Q600" i="1" s="1"/>
  <c r="O519" i="1"/>
  <c r="P519" i="1" s="1"/>
  <c r="Q519" i="1" s="1"/>
  <c r="O456" i="1"/>
  <c r="P456" i="1" s="1"/>
  <c r="Q456" i="1" s="1"/>
  <c r="O408" i="1"/>
  <c r="P408" i="1" s="1"/>
  <c r="Q408" i="1" s="1"/>
  <c r="O360" i="1"/>
  <c r="P360" i="1" s="1"/>
  <c r="Q360" i="1" s="1"/>
  <c r="O300" i="1"/>
  <c r="P300" i="1" s="1"/>
  <c r="Q300" i="1" s="1"/>
  <c r="O264" i="1"/>
  <c r="P264" i="1" s="1"/>
  <c r="Q264" i="1" s="1"/>
  <c r="O228" i="1"/>
  <c r="P228" i="1" s="1"/>
  <c r="Q228" i="1" s="1"/>
  <c r="O192" i="1"/>
  <c r="P192" i="1" s="1"/>
  <c r="Q192" i="1" s="1"/>
  <c r="O156" i="1"/>
  <c r="P156" i="1" s="1"/>
  <c r="Q156" i="1" s="1"/>
  <c r="O120" i="1"/>
  <c r="P120" i="1" s="1"/>
  <c r="Q120" i="1" s="1"/>
  <c r="I237" i="1"/>
  <c r="J237" i="1" s="1"/>
  <c r="O237" i="1"/>
  <c r="P237" i="1" s="1"/>
  <c r="Q237" i="1" s="1"/>
  <c r="I364" i="1"/>
  <c r="I328" i="1"/>
  <c r="I292" i="1"/>
  <c r="J292" i="1" s="1"/>
  <c r="I160" i="1"/>
  <c r="I136" i="1"/>
  <c r="I100" i="1"/>
  <c r="I88" i="1"/>
  <c r="I76" i="1"/>
  <c r="I64" i="1"/>
  <c r="J64" i="1" s="1"/>
  <c r="I52" i="1"/>
  <c r="J52" i="1" s="1"/>
  <c r="I28" i="1"/>
  <c r="J28" i="1" s="1"/>
  <c r="I4" i="1"/>
  <c r="J4" i="1" s="1"/>
  <c r="I612" i="1"/>
  <c r="O725" i="1"/>
  <c r="P725" i="1" s="1"/>
  <c r="Q725" i="1" s="1"/>
  <c r="O629" i="1"/>
  <c r="P629" i="1" s="1"/>
  <c r="Q629" i="1" s="1"/>
  <c r="O581" i="1"/>
  <c r="P581" i="1" s="1"/>
  <c r="Q581" i="1" s="1"/>
  <c r="O485" i="1"/>
  <c r="P485" i="1" s="1"/>
  <c r="Q485" i="1" s="1"/>
  <c r="O437" i="1"/>
  <c r="P437" i="1" s="1"/>
  <c r="Q437" i="1" s="1"/>
  <c r="O341" i="1"/>
  <c r="P341" i="1" s="1"/>
  <c r="Q341" i="1" s="1"/>
  <c r="I36" i="1"/>
  <c r="O36" i="1"/>
  <c r="P36" i="1" s="1"/>
  <c r="Q36" i="1" s="1"/>
  <c r="I695" i="1"/>
  <c r="O255" i="1"/>
  <c r="P255" i="1" s="1"/>
  <c r="Q255" i="1" s="1"/>
  <c r="O243" i="1"/>
  <c r="P243" i="1" s="1"/>
  <c r="Q243" i="1" s="1"/>
  <c r="O231" i="1"/>
  <c r="P231" i="1" s="1"/>
  <c r="Q231" i="1" s="1"/>
  <c r="O219" i="1"/>
  <c r="P219" i="1" s="1"/>
  <c r="Q219" i="1" s="1"/>
  <c r="O207" i="1"/>
  <c r="P207" i="1" s="1"/>
  <c r="Q207" i="1" s="1"/>
  <c r="O195" i="1"/>
  <c r="P195" i="1" s="1"/>
  <c r="Q195" i="1" s="1"/>
  <c r="O183" i="1"/>
  <c r="P183" i="1" s="1"/>
  <c r="Q183" i="1" s="1"/>
  <c r="O171" i="1"/>
  <c r="P171" i="1" s="1"/>
  <c r="Q171" i="1" s="1"/>
  <c r="O159" i="1"/>
  <c r="P159" i="1" s="1"/>
  <c r="Q159" i="1" s="1"/>
  <c r="O147" i="1"/>
  <c r="P147" i="1" s="1"/>
  <c r="Q147" i="1" s="1"/>
  <c r="O135" i="1"/>
  <c r="P135" i="1" s="1"/>
  <c r="Q135" i="1" s="1"/>
  <c r="O123" i="1"/>
  <c r="P123" i="1" s="1"/>
  <c r="Q123" i="1" s="1"/>
  <c r="O111" i="1"/>
  <c r="P111" i="1" s="1"/>
  <c r="Q111" i="1" s="1"/>
  <c r="O99" i="1"/>
  <c r="P99" i="1" s="1"/>
  <c r="Q99" i="1" s="1"/>
  <c r="O87" i="1"/>
  <c r="P87" i="1" s="1"/>
  <c r="Q87" i="1" s="1"/>
  <c r="O75" i="1"/>
  <c r="P75" i="1" s="1"/>
  <c r="Q75" i="1" s="1"/>
  <c r="O63" i="1"/>
  <c r="P63" i="1" s="1"/>
  <c r="Q63" i="1" s="1"/>
  <c r="O51" i="1"/>
  <c r="P51" i="1" s="1"/>
  <c r="Q51" i="1" s="1"/>
  <c r="O39" i="1"/>
  <c r="P39" i="1" s="1"/>
  <c r="Q39" i="1" s="1"/>
  <c r="O27" i="1"/>
  <c r="P27" i="1" s="1"/>
  <c r="Q27" i="1" s="1"/>
  <c r="O15" i="1"/>
  <c r="P15" i="1" s="1"/>
  <c r="Q15" i="1" s="1"/>
  <c r="O3" i="1"/>
  <c r="P3" i="1" s="1"/>
  <c r="Q3" i="1" s="1"/>
  <c r="O991" i="1"/>
  <c r="P991" i="1" s="1"/>
  <c r="Q991" i="1" s="1"/>
  <c r="O979" i="1"/>
  <c r="P979" i="1" s="1"/>
  <c r="Q979" i="1" s="1"/>
  <c r="O967" i="1"/>
  <c r="P967" i="1" s="1"/>
  <c r="Q967" i="1" s="1"/>
  <c r="O955" i="1"/>
  <c r="P955" i="1" s="1"/>
  <c r="Q955" i="1" s="1"/>
  <c r="O943" i="1"/>
  <c r="P943" i="1" s="1"/>
  <c r="Q943" i="1" s="1"/>
  <c r="O931" i="1"/>
  <c r="P931" i="1" s="1"/>
  <c r="Q931" i="1" s="1"/>
  <c r="O388" i="1"/>
  <c r="P388" i="1" s="1"/>
  <c r="Q388" i="1" s="1"/>
  <c r="O340" i="1"/>
  <c r="P340" i="1" s="1"/>
  <c r="Q340" i="1" s="1"/>
  <c r="O293" i="1"/>
  <c r="P293" i="1" s="1"/>
  <c r="Q293" i="1" s="1"/>
  <c r="O257" i="1"/>
  <c r="P257" i="1" s="1"/>
  <c r="Q257" i="1" s="1"/>
  <c r="O221" i="1"/>
  <c r="P221" i="1" s="1"/>
  <c r="Q221" i="1" s="1"/>
  <c r="O185" i="1"/>
  <c r="P185" i="1" s="1"/>
  <c r="Q185" i="1" s="1"/>
  <c r="O149" i="1"/>
  <c r="P149" i="1" s="1"/>
  <c r="Q149" i="1" s="1"/>
  <c r="O113" i="1"/>
  <c r="P113" i="1" s="1"/>
  <c r="Q113" i="1" s="1"/>
  <c r="O65" i="1"/>
  <c r="P65" i="1" s="1"/>
  <c r="Q65" i="1" s="1"/>
  <c r="O17" i="1"/>
  <c r="P17" i="1" s="1"/>
  <c r="Q17" i="1" s="1"/>
  <c r="I48" i="1"/>
  <c r="J48" i="1" s="1"/>
  <c r="O48" i="1"/>
  <c r="P48" i="1" s="1"/>
  <c r="Q48" i="1" s="1"/>
  <c r="O384" i="1"/>
  <c r="P384" i="1" s="1"/>
  <c r="Q384" i="1" s="1"/>
  <c r="I40" i="1"/>
  <c r="O660" i="1"/>
  <c r="P660" i="1" s="1"/>
  <c r="Q660" i="1" s="1"/>
  <c r="O531" i="1"/>
  <c r="P531" i="1" s="1"/>
  <c r="Q531" i="1" s="1"/>
  <c r="O468" i="1"/>
  <c r="P468" i="1" s="1"/>
  <c r="Q468" i="1" s="1"/>
  <c r="O420" i="1"/>
  <c r="P420" i="1" s="1"/>
  <c r="Q420" i="1" s="1"/>
  <c r="O372" i="1"/>
  <c r="P372" i="1" s="1"/>
  <c r="Q372" i="1" s="1"/>
  <c r="O324" i="1"/>
  <c r="P324" i="1" s="1"/>
  <c r="Q324" i="1" s="1"/>
  <c r="O292" i="1"/>
  <c r="P292" i="1" s="1"/>
  <c r="Q292" i="1" s="1"/>
  <c r="O256" i="1"/>
  <c r="P256" i="1" s="1"/>
  <c r="Q256" i="1" s="1"/>
  <c r="O220" i="1"/>
  <c r="P220" i="1" s="1"/>
  <c r="Q220" i="1" s="1"/>
  <c r="O184" i="1"/>
  <c r="P184" i="1" s="1"/>
  <c r="Q184" i="1" s="1"/>
  <c r="O148" i="1"/>
  <c r="P148" i="1" s="1"/>
  <c r="Q148" i="1" s="1"/>
  <c r="O112" i="1"/>
  <c r="P112" i="1" s="1"/>
  <c r="Q112" i="1" s="1"/>
  <c r="O64" i="1"/>
  <c r="P64" i="1" s="1"/>
  <c r="Q64" i="1" s="1"/>
  <c r="O16" i="1"/>
  <c r="P16" i="1" s="1"/>
  <c r="Q16" i="1" s="1"/>
  <c r="B3" i="3"/>
  <c r="K2" i="1"/>
  <c r="K990" i="1"/>
  <c r="K978" i="1"/>
  <c r="K966" i="1"/>
  <c r="K954" i="1"/>
  <c r="K942" i="1"/>
  <c r="K930" i="1"/>
  <c r="K918" i="1"/>
  <c r="K906" i="1"/>
  <c r="I906" i="1"/>
  <c r="J906" i="1" s="1"/>
  <c r="K894" i="1"/>
  <c r="I894" i="1"/>
  <c r="J894" i="1" s="1"/>
  <c r="K882" i="1"/>
  <c r="I882" i="1"/>
  <c r="J882" i="1" s="1"/>
  <c r="K870" i="1"/>
  <c r="I870" i="1"/>
  <c r="J870" i="1" s="1"/>
  <c r="K858" i="1"/>
  <c r="I858" i="1"/>
  <c r="J858" i="1" s="1"/>
  <c r="K846" i="1"/>
  <c r="I846" i="1"/>
  <c r="J846" i="1" s="1"/>
  <c r="K834" i="1"/>
  <c r="I834" i="1"/>
  <c r="J834" i="1" s="1"/>
  <c r="K822" i="1"/>
  <c r="I822" i="1"/>
  <c r="J822" i="1" s="1"/>
  <c r="K810" i="1"/>
  <c r="I810" i="1"/>
  <c r="J810" i="1" s="1"/>
  <c r="K798" i="1"/>
  <c r="I798" i="1"/>
  <c r="J798" i="1" s="1"/>
  <c r="K786" i="1"/>
  <c r="I786" i="1"/>
  <c r="J786" i="1" s="1"/>
  <c r="K774" i="1"/>
  <c r="I774" i="1"/>
  <c r="J774" i="1" s="1"/>
  <c r="K762" i="1"/>
  <c r="I762" i="1"/>
  <c r="J762" i="1" s="1"/>
  <c r="K750" i="1"/>
  <c r="I750" i="1"/>
  <c r="J750" i="1" s="1"/>
  <c r="K738" i="1"/>
  <c r="I738" i="1"/>
  <c r="J738" i="1" s="1"/>
  <c r="K726" i="1"/>
  <c r="I726" i="1"/>
  <c r="J726" i="1" s="1"/>
  <c r="K714" i="1"/>
  <c r="I714" i="1"/>
  <c r="J714" i="1" s="1"/>
  <c r="K702" i="1"/>
  <c r="I702" i="1"/>
  <c r="J702" i="1" s="1"/>
  <c r="K690" i="1"/>
  <c r="I690" i="1"/>
  <c r="J690" i="1" s="1"/>
  <c r="K678" i="1"/>
  <c r="I678" i="1"/>
  <c r="J678" i="1" s="1"/>
  <c r="K666" i="1"/>
  <c r="I666" i="1"/>
  <c r="J666" i="1" s="1"/>
  <c r="K654" i="1"/>
  <c r="I654" i="1"/>
  <c r="J654" i="1" s="1"/>
  <c r="K642" i="1"/>
  <c r="I642" i="1"/>
  <c r="J642" i="1" s="1"/>
  <c r="K630" i="1"/>
  <c r="I630" i="1"/>
  <c r="J630" i="1" s="1"/>
  <c r="K618" i="1"/>
  <c r="I618" i="1"/>
  <c r="J618" i="1" s="1"/>
  <c r="K606" i="1"/>
  <c r="I606" i="1"/>
  <c r="J606" i="1" s="1"/>
  <c r="K594" i="1"/>
  <c r="I594" i="1"/>
  <c r="J594" i="1" s="1"/>
  <c r="K582" i="1"/>
  <c r="I582" i="1"/>
  <c r="J582" i="1" s="1"/>
  <c r="K570" i="1"/>
  <c r="I570" i="1"/>
  <c r="J570" i="1" s="1"/>
  <c r="K558" i="1"/>
  <c r="I558" i="1"/>
  <c r="J558" i="1" s="1"/>
  <c r="K546" i="1"/>
  <c r="I546" i="1"/>
  <c r="J546" i="1" s="1"/>
  <c r="K534" i="1"/>
  <c r="I534" i="1"/>
  <c r="J534" i="1" s="1"/>
  <c r="K522" i="1"/>
  <c r="I522" i="1"/>
  <c r="J522" i="1" s="1"/>
  <c r="K510" i="1"/>
  <c r="I510" i="1"/>
  <c r="J510" i="1" s="1"/>
  <c r="K498" i="1"/>
  <c r="I498" i="1"/>
  <c r="J498" i="1" s="1"/>
  <c r="K486" i="1"/>
  <c r="I486" i="1"/>
  <c r="J486" i="1" s="1"/>
  <c r="K474" i="1"/>
  <c r="I474" i="1"/>
  <c r="J474" i="1" s="1"/>
  <c r="K462" i="1"/>
  <c r="I462" i="1"/>
  <c r="J462" i="1" s="1"/>
  <c r="K450" i="1"/>
  <c r="I450" i="1"/>
  <c r="J450" i="1" s="1"/>
  <c r="K438" i="1"/>
  <c r="I438" i="1"/>
  <c r="J438" i="1" s="1"/>
  <c r="K426" i="1"/>
  <c r="J426" i="1"/>
  <c r="I426" i="1"/>
  <c r="K414" i="1"/>
  <c r="I414" i="1"/>
  <c r="J414" i="1" s="1"/>
  <c r="K402" i="1"/>
  <c r="I402" i="1"/>
  <c r="J402" i="1" s="1"/>
  <c r="K390" i="1"/>
  <c r="I390" i="1"/>
  <c r="J390" i="1" s="1"/>
  <c r="K378" i="1"/>
  <c r="I378" i="1"/>
  <c r="J378" i="1" s="1"/>
  <c r="K366" i="1"/>
  <c r="I366" i="1"/>
  <c r="J366" i="1" s="1"/>
  <c r="K354" i="1"/>
  <c r="I354" i="1"/>
  <c r="J354" i="1" s="1"/>
  <c r="K342" i="1"/>
  <c r="I342" i="1"/>
  <c r="J342" i="1" s="1"/>
  <c r="K330" i="1"/>
  <c r="I330" i="1"/>
  <c r="J330" i="1" s="1"/>
  <c r="K318" i="1"/>
  <c r="I318" i="1"/>
  <c r="J318" i="1" s="1"/>
  <c r="K306" i="1"/>
  <c r="I306" i="1"/>
  <c r="J306" i="1" s="1"/>
  <c r="K294" i="1"/>
  <c r="I294" i="1"/>
  <c r="J294" i="1" s="1"/>
  <c r="K282" i="1"/>
  <c r="I282" i="1"/>
  <c r="J282" i="1" s="1"/>
  <c r="K270" i="1"/>
  <c r="I270" i="1"/>
  <c r="J270" i="1" s="1"/>
  <c r="K258" i="1"/>
  <c r="I258" i="1"/>
  <c r="J258" i="1" s="1"/>
  <c r="K246" i="1"/>
  <c r="I246" i="1"/>
  <c r="J246" i="1" s="1"/>
  <c r="K234" i="1"/>
  <c r="I234" i="1"/>
  <c r="J234" i="1" s="1"/>
  <c r="K222" i="1"/>
  <c r="I222" i="1"/>
  <c r="J222" i="1" s="1"/>
  <c r="K210" i="1"/>
  <c r="I210" i="1"/>
  <c r="J210" i="1" s="1"/>
  <c r="K198" i="1"/>
  <c r="I198" i="1"/>
  <c r="J198" i="1" s="1"/>
  <c r="K186" i="1"/>
  <c r="J186" i="1"/>
  <c r="I186" i="1"/>
  <c r="K174" i="1"/>
  <c r="I174" i="1"/>
  <c r="J174" i="1" s="1"/>
  <c r="K162" i="1"/>
  <c r="I162" i="1"/>
  <c r="J162" i="1" s="1"/>
  <c r="K150" i="1"/>
  <c r="I150" i="1"/>
  <c r="J150" i="1" s="1"/>
  <c r="K138" i="1"/>
  <c r="I138" i="1"/>
  <c r="J138" i="1" s="1"/>
  <c r="K126" i="1"/>
  <c r="I126" i="1"/>
  <c r="J126" i="1" s="1"/>
  <c r="K114" i="1"/>
  <c r="I114" i="1"/>
  <c r="J114" i="1" s="1"/>
  <c r="K102" i="1"/>
  <c r="I102" i="1"/>
  <c r="J102" i="1" s="1"/>
  <c r="K90" i="1"/>
  <c r="I90" i="1"/>
  <c r="J90" i="1" s="1"/>
  <c r="K78" i="1"/>
  <c r="I78" i="1"/>
  <c r="J78" i="1" s="1"/>
  <c r="K66" i="1"/>
  <c r="I66" i="1"/>
  <c r="J66" i="1" s="1"/>
  <c r="K54" i="1"/>
  <c r="I54" i="1"/>
  <c r="J54" i="1" s="1"/>
  <c r="K42" i="1"/>
  <c r="I42" i="1"/>
  <c r="J42" i="1" s="1"/>
  <c r="K30" i="1"/>
  <c r="I30" i="1"/>
  <c r="J30" i="1" s="1"/>
  <c r="K18" i="1"/>
  <c r="I18" i="1"/>
  <c r="J18" i="1" s="1"/>
  <c r="K6" i="1"/>
  <c r="I6" i="1"/>
  <c r="J6" i="1" s="1"/>
  <c r="K1001" i="1"/>
  <c r="J1001" i="1"/>
  <c r="K989" i="1"/>
  <c r="J989" i="1"/>
  <c r="K977" i="1"/>
  <c r="K965" i="1"/>
  <c r="K953" i="1"/>
  <c r="J953" i="1"/>
  <c r="K941" i="1"/>
  <c r="J941" i="1"/>
  <c r="K929" i="1"/>
  <c r="K917" i="1"/>
  <c r="I917" i="1"/>
  <c r="J917" i="1" s="1"/>
  <c r="K905" i="1"/>
  <c r="I905" i="1"/>
  <c r="J905" i="1" s="1"/>
  <c r="K893" i="1"/>
  <c r="I893" i="1"/>
  <c r="J893" i="1" s="1"/>
  <c r="K881" i="1"/>
  <c r="I881" i="1"/>
  <c r="J881" i="1" s="1"/>
  <c r="K869" i="1"/>
  <c r="I869" i="1"/>
  <c r="J869" i="1" s="1"/>
  <c r="K857" i="1"/>
  <c r="I857" i="1"/>
  <c r="J857" i="1" s="1"/>
  <c r="K845" i="1"/>
  <c r="I845" i="1"/>
  <c r="J845" i="1" s="1"/>
  <c r="K833" i="1"/>
  <c r="I833" i="1"/>
  <c r="J833" i="1" s="1"/>
  <c r="K821" i="1"/>
  <c r="I821" i="1"/>
  <c r="J821" i="1" s="1"/>
  <c r="K809" i="1"/>
  <c r="I809" i="1"/>
  <c r="J809" i="1" s="1"/>
  <c r="K797" i="1"/>
  <c r="I797" i="1"/>
  <c r="J797" i="1" s="1"/>
  <c r="K785" i="1"/>
  <c r="I785" i="1"/>
  <c r="J785" i="1" s="1"/>
  <c r="K773" i="1"/>
  <c r="I773" i="1"/>
  <c r="J773" i="1" s="1"/>
  <c r="K761" i="1"/>
  <c r="J761" i="1"/>
  <c r="I761" i="1"/>
  <c r="K749" i="1"/>
  <c r="I749" i="1"/>
  <c r="J749" i="1" s="1"/>
  <c r="K737" i="1"/>
  <c r="I737" i="1"/>
  <c r="J737" i="1" s="1"/>
  <c r="K725" i="1"/>
  <c r="I725" i="1"/>
  <c r="J725" i="1" s="1"/>
  <c r="K713" i="1"/>
  <c r="I713" i="1"/>
  <c r="J713" i="1" s="1"/>
  <c r="K701" i="1"/>
  <c r="I701" i="1"/>
  <c r="J701" i="1" s="1"/>
  <c r="K689" i="1"/>
  <c r="I689" i="1"/>
  <c r="J689" i="1" s="1"/>
  <c r="K677" i="1"/>
  <c r="I677" i="1"/>
  <c r="J677" i="1" s="1"/>
  <c r="K665" i="1"/>
  <c r="I665" i="1"/>
  <c r="J665" i="1" s="1"/>
  <c r="K653" i="1"/>
  <c r="I653" i="1"/>
  <c r="J653" i="1" s="1"/>
  <c r="K641" i="1"/>
  <c r="I641" i="1"/>
  <c r="J641" i="1" s="1"/>
  <c r="K629" i="1"/>
  <c r="I629" i="1"/>
  <c r="J629" i="1" s="1"/>
  <c r="K617" i="1"/>
  <c r="I617" i="1"/>
  <c r="J617" i="1" s="1"/>
  <c r="K605" i="1"/>
  <c r="I605" i="1"/>
  <c r="J605" i="1" s="1"/>
  <c r="K593" i="1"/>
  <c r="I593" i="1"/>
  <c r="J593" i="1" s="1"/>
  <c r="K581" i="1"/>
  <c r="I581" i="1"/>
  <c r="J581" i="1" s="1"/>
  <c r="K569" i="1"/>
  <c r="I569" i="1"/>
  <c r="J569" i="1" s="1"/>
  <c r="K557" i="1"/>
  <c r="I557" i="1"/>
  <c r="J557" i="1" s="1"/>
  <c r="K545" i="1"/>
  <c r="I545" i="1"/>
  <c r="J545" i="1" s="1"/>
  <c r="K533" i="1"/>
  <c r="I533" i="1"/>
  <c r="J533" i="1" s="1"/>
  <c r="K521" i="1"/>
  <c r="I521" i="1"/>
  <c r="J521" i="1" s="1"/>
  <c r="K509" i="1"/>
  <c r="I509" i="1"/>
  <c r="J509" i="1" s="1"/>
  <c r="K497" i="1"/>
  <c r="I497" i="1"/>
  <c r="J497" i="1" s="1"/>
  <c r="K485" i="1"/>
  <c r="I485" i="1"/>
  <c r="J485" i="1" s="1"/>
  <c r="K473" i="1"/>
  <c r="I473" i="1"/>
  <c r="J473" i="1" s="1"/>
  <c r="K461" i="1"/>
  <c r="I461" i="1"/>
  <c r="J461" i="1" s="1"/>
  <c r="K449" i="1"/>
  <c r="I449" i="1"/>
  <c r="J449" i="1" s="1"/>
  <c r="K437" i="1"/>
  <c r="I437" i="1"/>
  <c r="J437" i="1" s="1"/>
  <c r="K425" i="1"/>
  <c r="I425" i="1"/>
  <c r="J425" i="1" s="1"/>
  <c r="K413" i="1"/>
  <c r="I413" i="1"/>
  <c r="J413" i="1" s="1"/>
  <c r="K401" i="1"/>
  <c r="I401" i="1"/>
  <c r="J401" i="1" s="1"/>
  <c r="K389" i="1"/>
  <c r="I389" i="1"/>
  <c r="J389" i="1" s="1"/>
  <c r="K377" i="1"/>
  <c r="I377" i="1"/>
  <c r="J377" i="1" s="1"/>
  <c r="K365" i="1"/>
  <c r="I365" i="1"/>
  <c r="J365" i="1" s="1"/>
  <c r="K353" i="1"/>
  <c r="I353" i="1"/>
  <c r="J353" i="1" s="1"/>
  <c r="I990" i="1"/>
  <c r="J990" i="1" s="1"/>
  <c r="I942" i="1"/>
  <c r="J942" i="1" s="1"/>
  <c r="K904" i="1"/>
  <c r="I904" i="1"/>
  <c r="J904" i="1"/>
  <c r="K999" i="1"/>
  <c r="K987" i="1"/>
  <c r="K975" i="1"/>
  <c r="J975" i="1"/>
  <c r="K963" i="1"/>
  <c r="K951" i="1"/>
  <c r="K939" i="1"/>
  <c r="K927" i="1"/>
  <c r="J927" i="1"/>
  <c r="K915" i="1"/>
  <c r="K903" i="1"/>
  <c r="J903" i="1"/>
  <c r="K891" i="1"/>
  <c r="K879" i="1"/>
  <c r="K867" i="1"/>
  <c r="K855" i="1"/>
  <c r="K843" i="1"/>
  <c r="J843" i="1"/>
  <c r="K831" i="1"/>
  <c r="K819" i="1"/>
  <c r="K807" i="1"/>
  <c r="K795" i="1"/>
  <c r="K783" i="1"/>
  <c r="J783" i="1"/>
  <c r="K771" i="1"/>
  <c r="K759" i="1"/>
  <c r="J759" i="1"/>
  <c r="K747" i="1"/>
  <c r="K735" i="1"/>
  <c r="K723" i="1"/>
  <c r="K711" i="1"/>
  <c r="K699" i="1"/>
  <c r="J699" i="1"/>
  <c r="K687" i="1"/>
  <c r="K675" i="1"/>
  <c r="K663" i="1"/>
  <c r="K651" i="1"/>
  <c r="K639" i="1"/>
  <c r="K627" i="1"/>
  <c r="K615" i="1"/>
  <c r="K603" i="1"/>
  <c r="J603" i="1"/>
  <c r="K591" i="1"/>
  <c r="K579" i="1"/>
  <c r="K567" i="1"/>
  <c r="K555" i="1"/>
  <c r="K543" i="1"/>
  <c r="K531" i="1"/>
  <c r="J531" i="1"/>
  <c r="K519" i="1"/>
  <c r="J519" i="1"/>
  <c r="K507" i="1"/>
  <c r="J507" i="1"/>
  <c r="K495" i="1"/>
  <c r="K483" i="1"/>
  <c r="K471" i="1"/>
  <c r="K459" i="1"/>
  <c r="K447" i="1"/>
  <c r="K435" i="1"/>
  <c r="K423" i="1"/>
  <c r="K411" i="1"/>
  <c r="K399" i="1"/>
  <c r="K387" i="1"/>
  <c r="I387" i="1"/>
  <c r="J387" i="1" s="1"/>
  <c r="K375" i="1"/>
  <c r="I375" i="1"/>
  <c r="J375" i="1" s="1"/>
  <c r="K363" i="1"/>
  <c r="I363" i="1"/>
  <c r="J363" i="1" s="1"/>
  <c r="K351" i="1"/>
  <c r="I351" i="1"/>
  <c r="J351" i="1"/>
  <c r="K339" i="1"/>
  <c r="I339" i="1"/>
  <c r="J339" i="1" s="1"/>
  <c r="K327" i="1"/>
  <c r="I327" i="1"/>
  <c r="J327" i="1" s="1"/>
  <c r="K315" i="1"/>
  <c r="I315" i="1"/>
  <c r="J315" i="1" s="1"/>
  <c r="K303" i="1"/>
  <c r="I303" i="1"/>
  <c r="J303" i="1" s="1"/>
  <c r="K291" i="1"/>
  <c r="I291" i="1"/>
  <c r="J291" i="1" s="1"/>
  <c r="K279" i="1"/>
  <c r="I279" i="1"/>
  <c r="J279" i="1" s="1"/>
  <c r="K267" i="1"/>
  <c r="I267" i="1"/>
  <c r="J267" i="1"/>
  <c r="K255" i="1"/>
  <c r="I255" i="1"/>
  <c r="J255" i="1" s="1"/>
  <c r="K243" i="1"/>
  <c r="I243" i="1"/>
  <c r="J243" i="1" s="1"/>
  <c r="K231" i="1"/>
  <c r="I231" i="1"/>
  <c r="J231" i="1" s="1"/>
  <c r="K219" i="1"/>
  <c r="I219" i="1"/>
  <c r="J219" i="1" s="1"/>
  <c r="K207" i="1"/>
  <c r="I207" i="1"/>
  <c r="J207" i="1" s="1"/>
  <c r="K195" i="1"/>
  <c r="I195" i="1"/>
  <c r="J195" i="1" s="1"/>
  <c r="K183" i="1"/>
  <c r="I183" i="1"/>
  <c r="J183" i="1" s="1"/>
  <c r="K171" i="1"/>
  <c r="I171" i="1"/>
  <c r="J171" i="1" s="1"/>
  <c r="K159" i="1"/>
  <c r="I159" i="1"/>
  <c r="J159" i="1" s="1"/>
  <c r="K147" i="1"/>
  <c r="I147" i="1"/>
  <c r="J147" i="1" s="1"/>
  <c r="K135" i="1"/>
  <c r="I135" i="1"/>
  <c r="J135" i="1" s="1"/>
  <c r="K123" i="1"/>
  <c r="I123" i="1"/>
  <c r="J123" i="1" s="1"/>
  <c r="K111" i="1"/>
  <c r="I111" i="1"/>
  <c r="J111" i="1" s="1"/>
  <c r="K99" i="1"/>
  <c r="I99" i="1"/>
  <c r="J99" i="1" s="1"/>
  <c r="K87" i="1"/>
  <c r="I87" i="1"/>
  <c r="J87" i="1" s="1"/>
  <c r="K75" i="1"/>
  <c r="I75" i="1"/>
  <c r="J75" i="1" s="1"/>
  <c r="K63" i="1"/>
  <c r="I63" i="1"/>
  <c r="J63" i="1" s="1"/>
  <c r="K51" i="1"/>
  <c r="I51" i="1"/>
  <c r="J51" i="1" s="1"/>
  <c r="K39" i="1"/>
  <c r="I39" i="1"/>
  <c r="J39" i="1" s="1"/>
  <c r="K27" i="1"/>
  <c r="I27" i="1"/>
  <c r="J27" i="1" s="1"/>
  <c r="K15" i="1"/>
  <c r="I15" i="1"/>
  <c r="J15" i="1" s="1"/>
  <c r="K3" i="1"/>
  <c r="I3" i="1"/>
  <c r="J3" i="1" s="1"/>
  <c r="I987" i="1"/>
  <c r="J987" i="1" s="1"/>
  <c r="I939" i="1"/>
  <c r="J939" i="1" s="1"/>
  <c r="I867" i="1"/>
  <c r="J867" i="1" s="1"/>
  <c r="I723" i="1"/>
  <c r="J723" i="1" s="1"/>
  <c r="I663" i="1"/>
  <c r="J663" i="1" s="1"/>
  <c r="I591" i="1"/>
  <c r="J591" i="1" s="1"/>
  <c r="I495" i="1"/>
  <c r="J495" i="1" s="1"/>
  <c r="K1000" i="1"/>
  <c r="I1000" i="1"/>
  <c r="J1000" i="1" s="1"/>
  <c r="K998" i="1"/>
  <c r="K986" i="1"/>
  <c r="K974" i="1"/>
  <c r="J974" i="1"/>
  <c r="K962" i="1"/>
  <c r="K950" i="1"/>
  <c r="K938" i="1"/>
  <c r="K926" i="1"/>
  <c r="J926" i="1"/>
  <c r="K914" i="1"/>
  <c r="K902" i="1"/>
  <c r="J902" i="1"/>
  <c r="K890" i="1"/>
  <c r="K878" i="1"/>
  <c r="K866" i="1"/>
  <c r="K854" i="1"/>
  <c r="K842" i="1"/>
  <c r="J842" i="1"/>
  <c r="K830" i="1"/>
  <c r="K818" i="1"/>
  <c r="J818" i="1"/>
  <c r="K806" i="1"/>
  <c r="K794" i="1"/>
  <c r="K782" i="1"/>
  <c r="J782" i="1"/>
  <c r="K770" i="1"/>
  <c r="K758" i="1"/>
  <c r="J758" i="1"/>
  <c r="K746" i="1"/>
  <c r="K734" i="1"/>
  <c r="K722" i="1"/>
  <c r="K710" i="1"/>
  <c r="K698" i="1"/>
  <c r="J698" i="1"/>
  <c r="K686" i="1"/>
  <c r="K674" i="1"/>
  <c r="J674" i="1"/>
  <c r="K662" i="1"/>
  <c r="I662" i="1"/>
  <c r="J662" i="1" s="1"/>
  <c r="K650" i="1"/>
  <c r="I650" i="1"/>
  <c r="J650" i="1" s="1"/>
  <c r="K638" i="1"/>
  <c r="I638" i="1"/>
  <c r="J638" i="1" s="1"/>
  <c r="K626" i="1"/>
  <c r="I626" i="1"/>
  <c r="J626" i="1" s="1"/>
  <c r="K614" i="1"/>
  <c r="I614" i="1"/>
  <c r="J614" i="1" s="1"/>
  <c r="K602" i="1"/>
  <c r="I602" i="1"/>
  <c r="J602" i="1" s="1"/>
  <c r="K590" i="1"/>
  <c r="I590" i="1"/>
  <c r="J590" i="1" s="1"/>
  <c r="K578" i="1"/>
  <c r="I578" i="1"/>
  <c r="J578" i="1" s="1"/>
  <c r="K566" i="1"/>
  <c r="I566" i="1"/>
  <c r="J566" i="1" s="1"/>
  <c r="K554" i="1"/>
  <c r="I554" i="1"/>
  <c r="J554" i="1" s="1"/>
  <c r="K542" i="1"/>
  <c r="I542" i="1"/>
  <c r="J542" i="1" s="1"/>
  <c r="K530" i="1"/>
  <c r="I530" i="1"/>
  <c r="J530" i="1" s="1"/>
  <c r="K518" i="1"/>
  <c r="I518" i="1"/>
  <c r="J518" i="1" s="1"/>
  <c r="K506" i="1"/>
  <c r="I506" i="1"/>
  <c r="J506" i="1" s="1"/>
  <c r="K494" i="1"/>
  <c r="I494" i="1"/>
  <c r="J494" i="1" s="1"/>
  <c r="K482" i="1"/>
  <c r="I482" i="1"/>
  <c r="J482" i="1" s="1"/>
  <c r="K470" i="1"/>
  <c r="I470" i="1"/>
  <c r="J470" i="1" s="1"/>
  <c r="K458" i="1"/>
  <c r="I458" i="1"/>
  <c r="J458" i="1" s="1"/>
  <c r="K446" i="1"/>
  <c r="I446" i="1"/>
  <c r="J446" i="1" s="1"/>
  <c r="K434" i="1"/>
  <c r="I434" i="1"/>
  <c r="J434" i="1" s="1"/>
  <c r="K422" i="1"/>
  <c r="I422" i="1"/>
  <c r="J422" i="1" s="1"/>
  <c r="K410" i="1"/>
  <c r="I410" i="1"/>
  <c r="J410" i="1" s="1"/>
  <c r="K398" i="1"/>
  <c r="I398" i="1"/>
  <c r="J398" i="1"/>
  <c r="K386" i="1"/>
  <c r="I386" i="1"/>
  <c r="J386" i="1"/>
  <c r="K374" i="1"/>
  <c r="I374" i="1"/>
  <c r="J374" i="1" s="1"/>
  <c r="K362" i="1"/>
  <c r="I362" i="1"/>
  <c r="J362" i="1" s="1"/>
  <c r="K350" i="1"/>
  <c r="I350" i="1"/>
  <c r="J350" i="1" s="1"/>
  <c r="K338" i="1"/>
  <c r="I338" i="1"/>
  <c r="J338" i="1" s="1"/>
  <c r="K326" i="1"/>
  <c r="I326" i="1"/>
  <c r="J326" i="1" s="1"/>
  <c r="K314" i="1"/>
  <c r="I314" i="1"/>
  <c r="J314" i="1" s="1"/>
  <c r="K302" i="1"/>
  <c r="I302" i="1"/>
  <c r="J302" i="1" s="1"/>
  <c r="K290" i="1"/>
  <c r="I290" i="1"/>
  <c r="J290" i="1"/>
  <c r="K278" i="1"/>
  <c r="I278" i="1"/>
  <c r="J278" i="1" s="1"/>
  <c r="K266" i="1"/>
  <c r="I266" i="1"/>
  <c r="J266" i="1" s="1"/>
  <c r="K254" i="1"/>
  <c r="I254" i="1"/>
  <c r="J254" i="1"/>
  <c r="K242" i="1"/>
  <c r="I242" i="1"/>
  <c r="J242" i="1" s="1"/>
  <c r="K230" i="1"/>
  <c r="I230" i="1"/>
  <c r="J230" i="1" s="1"/>
  <c r="K218" i="1"/>
  <c r="I218" i="1"/>
  <c r="J218" i="1" s="1"/>
  <c r="K206" i="1"/>
  <c r="I206" i="1"/>
  <c r="J206" i="1" s="1"/>
  <c r="K194" i="1"/>
  <c r="I194" i="1"/>
  <c r="J194" i="1" s="1"/>
  <c r="K182" i="1"/>
  <c r="I182" i="1"/>
  <c r="J182" i="1" s="1"/>
  <c r="K170" i="1"/>
  <c r="I170" i="1"/>
  <c r="J170" i="1" s="1"/>
  <c r="K158" i="1"/>
  <c r="I158" i="1"/>
  <c r="J158" i="1" s="1"/>
  <c r="K146" i="1"/>
  <c r="I146" i="1"/>
  <c r="J146" i="1" s="1"/>
  <c r="K134" i="1"/>
  <c r="I134" i="1"/>
  <c r="J134" i="1" s="1"/>
  <c r="K122" i="1"/>
  <c r="I122" i="1"/>
  <c r="J122" i="1" s="1"/>
  <c r="K110" i="1"/>
  <c r="I110" i="1"/>
  <c r="J110" i="1" s="1"/>
  <c r="K98" i="1"/>
  <c r="I98" i="1"/>
  <c r="J98" i="1" s="1"/>
  <c r="K86" i="1"/>
  <c r="I86" i="1"/>
  <c r="J86" i="1" s="1"/>
  <c r="K74" i="1"/>
  <c r="I74" i="1"/>
  <c r="J74" i="1" s="1"/>
  <c r="K62" i="1"/>
  <c r="I62" i="1"/>
  <c r="J62" i="1" s="1"/>
  <c r="K50" i="1"/>
  <c r="I50" i="1"/>
  <c r="J50" i="1" s="1"/>
  <c r="K38" i="1"/>
  <c r="I38" i="1"/>
  <c r="J38" i="1" s="1"/>
  <c r="K26" i="1"/>
  <c r="I26" i="1"/>
  <c r="J26" i="1" s="1"/>
  <c r="K14" i="1"/>
  <c r="I14" i="1"/>
  <c r="J14" i="1" s="1"/>
  <c r="I2" i="1"/>
  <c r="J2" i="1" s="1"/>
  <c r="I986" i="1"/>
  <c r="J986" i="1" s="1"/>
  <c r="I954" i="1"/>
  <c r="J954" i="1" s="1"/>
  <c r="I938" i="1"/>
  <c r="J938" i="1" s="1"/>
  <c r="I866" i="1"/>
  <c r="J866" i="1" s="1"/>
  <c r="I807" i="1"/>
  <c r="J807" i="1" s="1"/>
  <c r="I722" i="1"/>
  <c r="J722" i="1" s="1"/>
  <c r="I483" i="1"/>
  <c r="J483" i="1" s="1"/>
  <c r="K961" i="1"/>
  <c r="K793" i="1"/>
  <c r="K697" i="1"/>
  <c r="J697" i="1"/>
  <c r="K673" i="1"/>
  <c r="I673" i="1"/>
  <c r="J673" i="1" s="1"/>
  <c r="K661" i="1"/>
  <c r="I661" i="1"/>
  <c r="J661" i="1" s="1"/>
  <c r="K649" i="1"/>
  <c r="I649" i="1"/>
  <c r="J649" i="1" s="1"/>
  <c r="K637" i="1"/>
  <c r="I637" i="1"/>
  <c r="J637" i="1" s="1"/>
  <c r="K625" i="1"/>
  <c r="I625" i="1"/>
  <c r="J625" i="1" s="1"/>
  <c r="K613" i="1"/>
  <c r="I613" i="1"/>
  <c r="J613" i="1" s="1"/>
  <c r="K601" i="1"/>
  <c r="I601" i="1"/>
  <c r="J601" i="1" s="1"/>
  <c r="K589" i="1"/>
  <c r="I589" i="1"/>
  <c r="J589" i="1" s="1"/>
  <c r="K577" i="1"/>
  <c r="I577" i="1"/>
  <c r="J577" i="1" s="1"/>
  <c r="K565" i="1"/>
  <c r="I565" i="1"/>
  <c r="J565" i="1" s="1"/>
  <c r="K517" i="1"/>
  <c r="I517" i="1"/>
  <c r="J517" i="1" s="1"/>
  <c r="K505" i="1"/>
  <c r="I505" i="1"/>
  <c r="J505" i="1" s="1"/>
  <c r="K493" i="1"/>
  <c r="I493" i="1"/>
  <c r="J493" i="1" s="1"/>
  <c r="K481" i="1"/>
  <c r="I481" i="1"/>
  <c r="J481" i="1" s="1"/>
  <c r="K469" i="1"/>
  <c r="I469" i="1"/>
  <c r="J469" i="1" s="1"/>
  <c r="K457" i="1"/>
  <c r="I457" i="1"/>
  <c r="J457" i="1" s="1"/>
  <c r="K445" i="1"/>
  <c r="I445" i="1"/>
  <c r="K433" i="1"/>
  <c r="I433" i="1"/>
  <c r="J433" i="1" s="1"/>
  <c r="K421" i="1"/>
  <c r="I421" i="1"/>
  <c r="J421" i="1" s="1"/>
  <c r="K409" i="1"/>
  <c r="I409" i="1"/>
  <c r="J409" i="1" s="1"/>
  <c r="K397" i="1"/>
  <c r="I397" i="1"/>
  <c r="J397" i="1" s="1"/>
  <c r="K385" i="1"/>
  <c r="I385" i="1"/>
  <c r="J385" i="1" s="1"/>
  <c r="K373" i="1"/>
  <c r="I373" i="1"/>
  <c r="J373" i="1" s="1"/>
  <c r="K361" i="1"/>
  <c r="I361" i="1"/>
  <c r="J361" i="1" s="1"/>
  <c r="K349" i="1"/>
  <c r="I349" i="1"/>
  <c r="J349" i="1" s="1"/>
  <c r="K337" i="1"/>
  <c r="I337" i="1"/>
  <c r="J337" i="1" s="1"/>
  <c r="K325" i="1"/>
  <c r="I325" i="1"/>
  <c r="J325" i="1" s="1"/>
  <c r="K313" i="1"/>
  <c r="I313" i="1"/>
  <c r="J313" i="1" s="1"/>
  <c r="K301" i="1"/>
  <c r="I301" i="1"/>
  <c r="J301" i="1" s="1"/>
  <c r="K289" i="1"/>
  <c r="I289" i="1"/>
  <c r="J289" i="1" s="1"/>
  <c r="K277" i="1"/>
  <c r="I277" i="1"/>
  <c r="J277" i="1" s="1"/>
  <c r="K265" i="1"/>
  <c r="I265" i="1"/>
  <c r="J265" i="1" s="1"/>
  <c r="K253" i="1"/>
  <c r="I253" i="1"/>
  <c r="J253" i="1" s="1"/>
  <c r="K241" i="1"/>
  <c r="I241" i="1"/>
  <c r="J241" i="1" s="1"/>
  <c r="K229" i="1"/>
  <c r="I229" i="1"/>
  <c r="J229" i="1" s="1"/>
  <c r="K217" i="1"/>
  <c r="I217" i="1"/>
  <c r="J217" i="1" s="1"/>
  <c r="K205" i="1"/>
  <c r="I205" i="1"/>
  <c r="J205" i="1" s="1"/>
  <c r="K193" i="1"/>
  <c r="I193" i="1"/>
  <c r="J193" i="1" s="1"/>
  <c r="K181" i="1"/>
  <c r="I181" i="1"/>
  <c r="J181" i="1" s="1"/>
  <c r="K169" i="1"/>
  <c r="I169" i="1"/>
  <c r="J169" i="1" s="1"/>
  <c r="K157" i="1"/>
  <c r="I157" i="1"/>
  <c r="J157" i="1" s="1"/>
  <c r="K145" i="1"/>
  <c r="I145" i="1"/>
  <c r="J145" i="1" s="1"/>
  <c r="K133" i="1"/>
  <c r="I133" i="1"/>
  <c r="J133" i="1" s="1"/>
  <c r="K121" i="1"/>
  <c r="I121" i="1"/>
  <c r="J121" i="1" s="1"/>
  <c r="K109" i="1"/>
  <c r="I109" i="1"/>
  <c r="J109" i="1" s="1"/>
  <c r="K97" i="1"/>
  <c r="I97" i="1"/>
  <c r="J97" i="1" s="1"/>
  <c r="K85" i="1"/>
  <c r="I85" i="1"/>
  <c r="J85" i="1" s="1"/>
  <c r="K73" i="1"/>
  <c r="I73" i="1"/>
  <c r="J73" i="1" s="1"/>
  <c r="K61" i="1"/>
  <c r="I61" i="1"/>
  <c r="J61" i="1" s="1"/>
  <c r="K49" i="1"/>
  <c r="I49" i="1"/>
  <c r="J49" i="1" s="1"/>
  <c r="K37" i="1"/>
  <c r="I37" i="1"/>
  <c r="J37" i="1" s="1"/>
  <c r="K25" i="1"/>
  <c r="I25" i="1"/>
  <c r="J25" i="1" s="1"/>
  <c r="K13" i="1"/>
  <c r="J13" i="1"/>
  <c r="I13" i="1"/>
  <c r="I891" i="1"/>
  <c r="J891" i="1" s="1"/>
  <c r="I806" i="1"/>
  <c r="J806" i="1" s="1"/>
  <c r="I747" i="1"/>
  <c r="J747" i="1" s="1"/>
  <c r="I651" i="1"/>
  <c r="J651" i="1" s="1"/>
  <c r="I579" i="1"/>
  <c r="J579" i="1" s="1"/>
  <c r="I471" i="1"/>
  <c r="J471" i="1" s="1"/>
  <c r="K964" i="1"/>
  <c r="I964" i="1"/>
  <c r="J964" i="1" s="1"/>
  <c r="K880" i="1"/>
  <c r="I880" i="1"/>
  <c r="J880" i="1" s="1"/>
  <c r="K820" i="1"/>
  <c r="I820" i="1"/>
  <c r="J820" i="1" s="1"/>
  <c r="K784" i="1"/>
  <c r="I784" i="1"/>
  <c r="J784" i="1" s="1"/>
  <c r="K724" i="1"/>
  <c r="I724" i="1"/>
  <c r="J724" i="1" s="1"/>
  <c r="K664" i="1"/>
  <c r="I664" i="1"/>
  <c r="J664" i="1" s="1"/>
  <c r="K604" i="1"/>
  <c r="I604" i="1"/>
  <c r="J604" i="1" s="1"/>
  <c r="K544" i="1"/>
  <c r="I544" i="1"/>
  <c r="J544" i="1" s="1"/>
  <c r="K496" i="1"/>
  <c r="I496" i="1"/>
  <c r="J496" i="1" s="1"/>
  <c r="K448" i="1"/>
  <c r="I448" i="1"/>
  <c r="J448" i="1" s="1"/>
  <c r="K400" i="1"/>
  <c r="I400" i="1"/>
  <c r="J400" i="1" s="1"/>
  <c r="K352" i="1"/>
  <c r="I352" i="1"/>
  <c r="J352" i="1" s="1"/>
  <c r="K304" i="1"/>
  <c r="I304" i="1"/>
  <c r="J304" i="1" s="1"/>
  <c r="K244" i="1"/>
  <c r="I244" i="1"/>
  <c r="J244" i="1" s="1"/>
  <c r="K196" i="1"/>
  <c r="I196" i="1"/>
  <c r="J196" i="1" s="1"/>
  <c r="K148" i="1"/>
  <c r="I148" i="1"/>
  <c r="J148" i="1" s="1"/>
  <c r="K112" i="1"/>
  <c r="K997" i="1"/>
  <c r="K937" i="1"/>
  <c r="J937" i="1"/>
  <c r="K901" i="1"/>
  <c r="J901" i="1"/>
  <c r="K865" i="1"/>
  <c r="J865" i="1"/>
  <c r="K829" i="1"/>
  <c r="K781" i="1"/>
  <c r="J781" i="1"/>
  <c r="K745" i="1"/>
  <c r="K709" i="1"/>
  <c r="K541" i="1"/>
  <c r="I541" i="1"/>
  <c r="J541" i="1" s="1"/>
  <c r="K996" i="1"/>
  <c r="K984" i="1"/>
  <c r="K972" i="1"/>
  <c r="J972" i="1"/>
  <c r="K960" i="1"/>
  <c r="J960" i="1"/>
  <c r="K948" i="1"/>
  <c r="K936" i="1"/>
  <c r="K924" i="1"/>
  <c r="J924" i="1"/>
  <c r="K912" i="1"/>
  <c r="K900" i="1"/>
  <c r="J900" i="1"/>
  <c r="K888" i="1"/>
  <c r="K876" i="1"/>
  <c r="J876" i="1"/>
  <c r="K864" i="1"/>
  <c r="K852" i="1"/>
  <c r="K840" i="1"/>
  <c r="J840" i="1"/>
  <c r="K828" i="1"/>
  <c r="K816" i="1"/>
  <c r="J816" i="1"/>
  <c r="K792" i="1"/>
  <c r="J792" i="1"/>
  <c r="K780" i="1"/>
  <c r="J780" i="1"/>
  <c r="K768" i="1"/>
  <c r="K756" i="1"/>
  <c r="J756" i="1"/>
  <c r="K744" i="1"/>
  <c r="K732" i="1"/>
  <c r="J732" i="1"/>
  <c r="K720" i="1"/>
  <c r="K708" i="1"/>
  <c r="K696" i="1"/>
  <c r="J696" i="1"/>
  <c r="K684" i="1"/>
  <c r="K672" i="1"/>
  <c r="J672" i="1"/>
  <c r="K660" i="1"/>
  <c r="J660" i="1"/>
  <c r="K648" i="1"/>
  <c r="K636" i="1"/>
  <c r="K624" i="1"/>
  <c r="K612" i="1"/>
  <c r="J612" i="1"/>
  <c r="K600" i="1"/>
  <c r="J600" i="1"/>
  <c r="K588" i="1"/>
  <c r="J588" i="1"/>
  <c r="K576" i="1"/>
  <c r="K564" i="1"/>
  <c r="K552" i="1"/>
  <c r="K540" i="1"/>
  <c r="I540" i="1"/>
  <c r="J540" i="1" s="1"/>
  <c r="K528" i="1"/>
  <c r="I528" i="1"/>
  <c r="J528" i="1" s="1"/>
  <c r="K516" i="1"/>
  <c r="I516" i="1"/>
  <c r="J516" i="1" s="1"/>
  <c r="K504" i="1"/>
  <c r="I504" i="1"/>
  <c r="J504" i="1" s="1"/>
  <c r="I999" i="1"/>
  <c r="J999" i="1" s="1"/>
  <c r="I984" i="1"/>
  <c r="J984" i="1" s="1"/>
  <c r="I951" i="1"/>
  <c r="J951" i="1" s="1"/>
  <c r="I936" i="1"/>
  <c r="J936" i="1" s="1"/>
  <c r="I918" i="1"/>
  <c r="J918" i="1" s="1"/>
  <c r="I890" i="1"/>
  <c r="J890" i="1" s="1"/>
  <c r="I864" i="1"/>
  <c r="J864" i="1" s="1"/>
  <c r="I831" i="1"/>
  <c r="J831" i="1" s="1"/>
  <c r="I746" i="1"/>
  <c r="J746" i="1" s="1"/>
  <c r="I720" i="1"/>
  <c r="J720" i="1" s="1"/>
  <c r="I687" i="1"/>
  <c r="J687" i="1" s="1"/>
  <c r="I648" i="1"/>
  <c r="J648" i="1" s="1"/>
  <c r="I576" i="1"/>
  <c r="J576" i="1" s="1"/>
  <c r="I459" i="1"/>
  <c r="J459" i="1" s="1"/>
  <c r="K988" i="1"/>
  <c r="I988" i="1"/>
  <c r="K928" i="1"/>
  <c r="I928" i="1"/>
  <c r="J928" i="1" s="1"/>
  <c r="K868" i="1"/>
  <c r="I868" i="1"/>
  <c r="J868" i="1" s="1"/>
  <c r="K844" i="1"/>
  <c r="I844" i="1"/>
  <c r="J844" i="1" s="1"/>
  <c r="K796" i="1"/>
  <c r="I796" i="1"/>
  <c r="J796" i="1" s="1"/>
  <c r="K748" i="1"/>
  <c r="I748" i="1"/>
  <c r="J748" i="1" s="1"/>
  <c r="K700" i="1"/>
  <c r="I700" i="1"/>
  <c r="J700" i="1" s="1"/>
  <c r="K652" i="1"/>
  <c r="I652" i="1"/>
  <c r="J652" i="1" s="1"/>
  <c r="K616" i="1"/>
  <c r="I616" i="1"/>
  <c r="J616" i="1" s="1"/>
  <c r="K568" i="1"/>
  <c r="I568" i="1"/>
  <c r="J568" i="1" s="1"/>
  <c r="K532" i="1"/>
  <c r="I532" i="1"/>
  <c r="J532" i="1" s="1"/>
  <c r="K484" i="1"/>
  <c r="I484" i="1"/>
  <c r="J484" i="1" s="1"/>
  <c r="K424" i="1"/>
  <c r="I424" i="1"/>
  <c r="J424" i="1" s="1"/>
  <c r="K376" i="1"/>
  <c r="I376" i="1"/>
  <c r="J376" i="1" s="1"/>
  <c r="K328" i="1"/>
  <c r="J328" i="1"/>
  <c r="K292" i="1"/>
  <c r="K256" i="1"/>
  <c r="K220" i="1"/>
  <c r="K184" i="1"/>
  <c r="K136" i="1"/>
  <c r="J136" i="1"/>
  <c r="K973" i="1"/>
  <c r="J973" i="1"/>
  <c r="K925" i="1"/>
  <c r="J925" i="1"/>
  <c r="K889" i="1"/>
  <c r="K853" i="1"/>
  <c r="K817" i="1"/>
  <c r="J817" i="1"/>
  <c r="K757" i="1"/>
  <c r="J757" i="1"/>
  <c r="K721" i="1"/>
  <c r="J721" i="1"/>
  <c r="K553" i="1"/>
  <c r="I553" i="1"/>
  <c r="J553" i="1" s="1"/>
  <c r="K995" i="1"/>
  <c r="K983" i="1"/>
  <c r="K971" i="1"/>
  <c r="J971" i="1"/>
  <c r="K959" i="1"/>
  <c r="J959" i="1"/>
  <c r="K947" i="1"/>
  <c r="K935" i="1"/>
  <c r="K923" i="1"/>
  <c r="J923" i="1"/>
  <c r="K911" i="1"/>
  <c r="K899" i="1"/>
  <c r="J899" i="1"/>
  <c r="K887" i="1"/>
  <c r="K875" i="1"/>
  <c r="J875" i="1"/>
  <c r="K863" i="1"/>
  <c r="K851" i="1"/>
  <c r="J851" i="1"/>
  <c r="K839" i="1"/>
  <c r="J839" i="1"/>
  <c r="K827" i="1"/>
  <c r="K815" i="1"/>
  <c r="J815" i="1"/>
  <c r="K803" i="1"/>
  <c r="K791" i="1"/>
  <c r="J791" i="1"/>
  <c r="K779" i="1"/>
  <c r="J779" i="1"/>
  <c r="K767" i="1"/>
  <c r="K755" i="1"/>
  <c r="J755" i="1"/>
  <c r="K743" i="1"/>
  <c r="K731" i="1"/>
  <c r="J731" i="1"/>
  <c r="K719" i="1"/>
  <c r="K707" i="1"/>
  <c r="J707" i="1"/>
  <c r="K695" i="1"/>
  <c r="J695" i="1"/>
  <c r="K683" i="1"/>
  <c r="K671" i="1"/>
  <c r="J671" i="1"/>
  <c r="K659" i="1"/>
  <c r="I659" i="1"/>
  <c r="J659" i="1" s="1"/>
  <c r="K647" i="1"/>
  <c r="I647" i="1"/>
  <c r="J647" i="1" s="1"/>
  <c r="K635" i="1"/>
  <c r="I635" i="1"/>
  <c r="J635" i="1" s="1"/>
  <c r="K623" i="1"/>
  <c r="I623" i="1"/>
  <c r="J623" i="1" s="1"/>
  <c r="K611" i="1"/>
  <c r="I611" i="1"/>
  <c r="J611" i="1" s="1"/>
  <c r="K599" i="1"/>
  <c r="I599" i="1"/>
  <c r="J599" i="1" s="1"/>
  <c r="K587" i="1"/>
  <c r="I587" i="1"/>
  <c r="J587" i="1" s="1"/>
  <c r="K575" i="1"/>
  <c r="I575" i="1"/>
  <c r="J575" i="1" s="1"/>
  <c r="K563" i="1"/>
  <c r="I563" i="1"/>
  <c r="J563" i="1" s="1"/>
  <c r="K551" i="1"/>
  <c r="I551" i="1"/>
  <c r="J551" i="1" s="1"/>
  <c r="K539" i="1"/>
  <c r="J539" i="1"/>
  <c r="I539" i="1"/>
  <c r="K527" i="1"/>
  <c r="I527" i="1"/>
  <c r="J527" i="1" s="1"/>
  <c r="K515" i="1"/>
  <c r="J515" i="1"/>
  <c r="I515" i="1"/>
  <c r="K503" i="1"/>
  <c r="I503" i="1"/>
  <c r="J503" i="1" s="1"/>
  <c r="K491" i="1"/>
  <c r="I491" i="1"/>
  <c r="J491" i="1" s="1"/>
  <c r="K479" i="1"/>
  <c r="I479" i="1"/>
  <c r="J479" i="1" s="1"/>
  <c r="K467" i="1"/>
  <c r="I467" i="1"/>
  <c r="J467" i="1" s="1"/>
  <c r="K455" i="1"/>
  <c r="I455" i="1"/>
  <c r="J455" i="1" s="1"/>
  <c r="K443" i="1"/>
  <c r="I443" i="1"/>
  <c r="J443" i="1" s="1"/>
  <c r="K431" i="1"/>
  <c r="I431" i="1"/>
  <c r="J431" i="1" s="1"/>
  <c r="K419" i="1"/>
  <c r="I419" i="1"/>
  <c r="J419" i="1" s="1"/>
  <c r="K407" i="1"/>
  <c r="I407" i="1"/>
  <c r="J407" i="1" s="1"/>
  <c r="K395" i="1"/>
  <c r="I395" i="1"/>
  <c r="J395" i="1" s="1"/>
  <c r="K383" i="1"/>
  <c r="J383" i="1"/>
  <c r="I383" i="1"/>
  <c r="K371" i="1"/>
  <c r="I371" i="1"/>
  <c r="J371" i="1" s="1"/>
  <c r="K359" i="1"/>
  <c r="I359" i="1"/>
  <c r="J359" i="1" s="1"/>
  <c r="K347" i="1"/>
  <c r="I347" i="1"/>
  <c r="J347" i="1" s="1"/>
  <c r="K335" i="1"/>
  <c r="I335" i="1"/>
  <c r="J335" i="1" s="1"/>
  <c r="K323" i="1"/>
  <c r="I323" i="1"/>
  <c r="J323" i="1" s="1"/>
  <c r="K311" i="1"/>
  <c r="I311" i="1"/>
  <c r="J311" i="1" s="1"/>
  <c r="K299" i="1"/>
  <c r="I299" i="1"/>
  <c r="J299" i="1" s="1"/>
  <c r="K287" i="1"/>
  <c r="I287" i="1"/>
  <c r="J287" i="1" s="1"/>
  <c r="K275" i="1"/>
  <c r="I275" i="1"/>
  <c r="J275" i="1" s="1"/>
  <c r="K263" i="1"/>
  <c r="I263" i="1"/>
  <c r="J263" i="1" s="1"/>
  <c r="K251" i="1"/>
  <c r="I251" i="1"/>
  <c r="J251" i="1" s="1"/>
  <c r="K239" i="1"/>
  <c r="I239" i="1"/>
  <c r="J239" i="1" s="1"/>
  <c r="K227" i="1"/>
  <c r="I227" i="1"/>
  <c r="J227" i="1" s="1"/>
  <c r="K215" i="1"/>
  <c r="I215" i="1"/>
  <c r="J215" i="1" s="1"/>
  <c r="K203" i="1"/>
  <c r="I203" i="1"/>
  <c r="J203" i="1" s="1"/>
  <c r="K191" i="1"/>
  <c r="I191" i="1"/>
  <c r="J191" i="1" s="1"/>
  <c r="K179" i="1"/>
  <c r="I179" i="1"/>
  <c r="J179" i="1" s="1"/>
  <c r="K167" i="1"/>
  <c r="I167" i="1"/>
  <c r="J167" i="1" s="1"/>
  <c r="K155" i="1"/>
  <c r="I155" i="1"/>
  <c r="J155" i="1" s="1"/>
  <c r="K143" i="1"/>
  <c r="I143" i="1"/>
  <c r="J143" i="1" s="1"/>
  <c r="K131" i="1"/>
  <c r="I131" i="1"/>
  <c r="J131" i="1" s="1"/>
  <c r="K119" i="1"/>
  <c r="I119" i="1"/>
  <c r="J119" i="1" s="1"/>
  <c r="K107" i="1"/>
  <c r="I107" i="1"/>
  <c r="J107" i="1" s="1"/>
  <c r="K95" i="1"/>
  <c r="J95" i="1"/>
  <c r="I95" i="1"/>
  <c r="K83" i="1"/>
  <c r="I83" i="1"/>
  <c r="J83" i="1" s="1"/>
  <c r="K71" i="1"/>
  <c r="I71" i="1"/>
  <c r="J71" i="1" s="1"/>
  <c r="K59" i="1"/>
  <c r="I59" i="1"/>
  <c r="J59" i="1" s="1"/>
  <c r="K47" i="1"/>
  <c r="I47" i="1"/>
  <c r="J47" i="1" s="1"/>
  <c r="K35" i="1"/>
  <c r="I35" i="1"/>
  <c r="J35" i="1" s="1"/>
  <c r="K23" i="1"/>
  <c r="I23" i="1"/>
  <c r="J23" i="1" s="1"/>
  <c r="K11" i="1"/>
  <c r="I11" i="1"/>
  <c r="J11" i="1" s="1"/>
  <c r="I998" i="1"/>
  <c r="J998" i="1" s="1"/>
  <c r="I983" i="1"/>
  <c r="J983" i="1" s="1"/>
  <c r="I966" i="1"/>
  <c r="J966" i="1" s="1"/>
  <c r="I950" i="1"/>
  <c r="J950" i="1" s="1"/>
  <c r="I935" i="1"/>
  <c r="J935" i="1" s="1"/>
  <c r="I915" i="1"/>
  <c r="J915" i="1" s="1"/>
  <c r="I889" i="1"/>
  <c r="J889" i="1" s="1"/>
  <c r="I863" i="1"/>
  <c r="J863" i="1" s="1"/>
  <c r="I830" i="1"/>
  <c r="J830" i="1" s="1"/>
  <c r="I804" i="1"/>
  <c r="I771" i="1"/>
  <c r="J771" i="1" s="1"/>
  <c r="I745" i="1"/>
  <c r="J745" i="1" s="1"/>
  <c r="I719" i="1"/>
  <c r="J719" i="1" s="1"/>
  <c r="I686" i="1"/>
  <c r="J686" i="1" s="1"/>
  <c r="I639" i="1"/>
  <c r="J639" i="1" s="1"/>
  <c r="I567" i="1"/>
  <c r="J567" i="1" s="1"/>
  <c r="I447" i="1"/>
  <c r="J447" i="1" s="1"/>
  <c r="I256" i="1"/>
  <c r="J256" i="1" s="1"/>
  <c r="J988" i="1"/>
  <c r="K976" i="1"/>
  <c r="I976" i="1"/>
  <c r="J976" i="1" s="1"/>
  <c r="K916" i="1"/>
  <c r="I916" i="1"/>
  <c r="J916" i="1" s="1"/>
  <c r="K856" i="1"/>
  <c r="I856" i="1"/>
  <c r="J856" i="1" s="1"/>
  <c r="K808" i="1"/>
  <c r="I808" i="1"/>
  <c r="J808" i="1" s="1"/>
  <c r="K760" i="1"/>
  <c r="I760" i="1"/>
  <c r="J760" i="1" s="1"/>
  <c r="K736" i="1"/>
  <c r="I736" i="1"/>
  <c r="J736" i="1" s="1"/>
  <c r="K688" i="1"/>
  <c r="I688" i="1"/>
  <c r="J688" i="1" s="1"/>
  <c r="K640" i="1"/>
  <c r="I640" i="1"/>
  <c r="J640" i="1" s="1"/>
  <c r="K580" i="1"/>
  <c r="I580" i="1"/>
  <c r="J580" i="1" s="1"/>
  <c r="K508" i="1"/>
  <c r="I508" i="1"/>
  <c r="J508" i="1" s="1"/>
  <c r="K460" i="1"/>
  <c r="I460" i="1"/>
  <c r="J460" i="1" s="1"/>
  <c r="K412" i="1"/>
  <c r="I412" i="1"/>
  <c r="J412" i="1" s="1"/>
  <c r="K340" i="1"/>
  <c r="I340" i="1"/>
  <c r="J340" i="1" s="1"/>
  <c r="K280" i="1"/>
  <c r="I280" i="1"/>
  <c r="J280" i="1" s="1"/>
  <c r="K232" i="1"/>
  <c r="I232" i="1"/>
  <c r="J232" i="1" s="1"/>
  <c r="K172" i="1"/>
  <c r="I172" i="1"/>
  <c r="J172" i="1" s="1"/>
  <c r="K124" i="1"/>
  <c r="I124" i="1"/>
  <c r="J124" i="1" s="1"/>
  <c r="K985" i="1"/>
  <c r="J985" i="1"/>
  <c r="K949" i="1"/>
  <c r="K913" i="1"/>
  <c r="K877" i="1"/>
  <c r="J877" i="1"/>
  <c r="K841" i="1"/>
  <c r="J841" i="1"/>
  <c r="K805" i="1"/>
  <c r="J805" i="1"/>
  <c r="K769" i="1"/>
  <c r="K733" i="1"/>
  <c r="J733" i="1"/>
  <c r="K685" i="1"/>
  <c r="K529" i="1"/>
  <c r="I529" i="1"/>
  <c r="J529" i="1" s="1"/>
  <c r="K994" i="1"/>
  <c r="K982" i="1"/>
  <c r="K970" i="1"/>
  <c r="J970" i="1"/>
  <c r="K958" i="1"/>
  <c r="J958" i="1"/>
  <c r="K946" i="1"/>
  <c r="K934" i="1"/>
  <c r="K922" i="1"/>
  <c r="J922" i="1"/>
  <c r="K910" i="1"/>
  <c r="I910" i="1"/>
  <c r="J910" i="1" s="1"/>
  <c r="K898" i="1"/>
  <c r="J898" i="1"/>
  <c r="I898" i="1"/>
  <c r="K886" i="1"/>
  <c r="J886" i="1"/>
  <c r="I886" i="1"/>
  <c r="K874" i="1"/>
  <c r="I874" i="1"/>
  <c r="J874" i="1" s="1"/>
  <c r="K862" i="1"/>
  <c r="I862" i="1"/>
  <c r="J862" i="1" s="1"/>
  <c r="K850" i="1"/>
  <c r="I850" i="1"/>
  <c r="J850" i="1" s="1"/>
  <c r="K838" i="1"/>
  <c r="I838" i="1"/>
  <c r="J838" i="1" s="1"/>
  <c r="K826" i="1"/>
  <c r="I826" i="1"/>
  <c r="J826" i="1" s="1"/>
  <c r="K814" i="1"/>
  <c r="I814" i="1"/>
  <c r="J814" i="1" s="1"/>
  <c r="K802" i="1"/>
  <c r="I802" i="1"/>
  <c r="J802" i="1" s="1"/>
  <c r="K790" i="1"/>
  <c r="I790" i="1"/>
  <c r="J790" i="1" s="1"/>
  <c r="K778" i="1"/>
  <c r="I778" i="1"/>
  <c r="J778" i="1" s="1"/>
  <c r="K766" i="1"/>
  <c r="I766" i="1"/>
  <c r="J766" i="1" s="1"/>
  <c r="K754" i="1"/>
  <c r="J754" i="1"/>
  <c r="I754" i="1"/>
  <c r="K742" i="1"/>
  <c r="I742" i="1"/>
  <c r="J742" i="1" s="1"/>
  <c r="K730" i="1"/>
  <c r="I730" i="1"/>
  <c r="J730" i="1" s="1"/>
  <c r="K718" i="1"/>
  <c r="I718" i="1"/>
  <c r="J718" i="1" s="1"/>
  <c r="K706" i="1"/>
  <c r="I706" i="1"/>
  <c r="J706" i="1" s="1"/>
  <c r="K694" i="1"/>
  <c r="I694" i="1"/>
  <c r="J694" i="1" s="1"/>
  <c r="K682" i="1"/>
  <c r="I682" i="1"/>
  <c r="J682" i="1" s="1"/>
  <c r="K670" i="1"/>
  <c r="I670" i="1"/>
  <c r="J670" i="1" s="1"/>
  <c r="K658" i="1"/>
  <c r="I658" i="1"/>
  <c r="J658" i="1" s="1"/>
  <c r="K646" i="1"/>
  <c r="I646" i="1"/>
  <c r="J646" i="1" s="1"/>
  <c r="K634" i="1"/>
  <c r="I634" i="1"/>
  <c r="J634" i="1"/>
  <c r="K622" i="1"/>
  <c r="I622" i="1"/>
  <c r="J622" i="1" s="1"/>
  <c r="K610" i="1"/>
  <c r="I610" i="1"/>
  <c r="J610" i="1" s="1"/>
  <c r="K598" i="1"/>
  <c r="I598" i="1"/>
  <c r="J598" i="1" s="1"/>
  <c r="K586" i="1"/>
  <c r="I586" i="1"/>
  <c r="J586" i="1" s="1"/>
  <c r="K574" i="1"/>
  <c r="I574" i="1"/>
  <c r="J574" i="1" s="1"/>
  <c r="K562" i="1"/>
  <c r="I562" i="1"/>
  <c r="J562" i="1" s="1"/>
  <c r="K550" i="1"/>
  <c r="I550" i="1"/>
  <c r="J550" i="1" s="1"/>
  <c r="K538" i="1"/>
  <c r="I538" i="1"/>
  <c r="J538" i="1" s="1"/>
  <c r="K526" i="1"/>
  <c r="I526" i="1"/>
  <c r="J526" i="1" s="1"/>
  <c r="K514" i="1"/>
  <c r="I514" i="1"/>
  <c r="J514" i="1" s="1"/>
  <c r="K502" i="1"/>
  <c r="I502" i="1"/>
  <c r="J502" i="1" s="1"/>
  <c r="K490" i="1"/>
  <c r="I490" i="1"/>
  <c r="J490" i="1" s="1"/>
  <c r="K478" i="1"/>
  <c r="I478" i="1"/>
  <c r="J478" i="1" s="1"/>
  <c r="K466" i="1"/>
  <c r="I466" i="1"/>
  <c r="J466" i="1" s="1"/>
  <c r="K454" i="1"/>
  <c r="I454" i="1"/>
  <c r="J454" i="1" s="1"/>
  <c r="K442" i="1"/>
  <c r="I442" i="1"/>
  <c r="J442" i="1" s="1"/>
  <c r="K430" i="1"/>
  <c r="I430" i="1"/>
  <c r="J430" i="1" s="1"/>
  <c r="K418" i="1"/>
  <c r="I418" i="1"/>
  <c r="J418" i="1" s="1"/>
  <c r="K406" i="1"/>
  <c r="I406" i="1"/>
  <c r="J406" i="1" s="1"/>
  <c r="K394" i="1"/>
  <c r="I394" i="1"/>
  <c r="J394" i="1" s="1"/>
  <c r="K382" i="1"/>
  <c r="I382" i="1"/>
  <c r="J382" i="1" s="1"/>
  <c r="K370" i="1"/>
  <c r="I370" i="1"/>
  <c r="J370" i="1" s="1"/>
  <c r="K358" i="1"/>
  <c r="I358" i="1"/>
  <c r="J358" i="1" s="1"/>
  <c r="K346" i="1"/>
  <c r="I346" i="1"/>
  <c r="J346" i="1" s="1"/>
  <c r="K334" i="1"/>
  <c r="I334" i="1"/>
  <c r="J334" i="1" s="1"/>
  <c r="K322" i="1"/>
  <c r="I322" i="1"/>
  <c r="J322" i="1" s="1"/>
  <c r="K310" i="1"/>
  <c r="I310" i="1"/>
  <c r="J310" i="1" s="1"/>
  <c r="K298" i="1"/>
  <c r="I298" i="1"/>
  <c r="J298" i="1" s="1"/>
  <c r="K286" i="1"/>
  <c r="I286" i="1"/>
  <c r="J286" i="1" s="1"/>
  <c r="K274" i="1"/>
  <c r="I274" i="1"/>
  <c r="J274" i="1" s="1"/>
  <c r="K262" i="1"/>
  <c r="I262" i="1"/>
  <c r="J262" i="1" s="1"/>
  <c r="K250" i="1"/>
  <c r="I250" i="1"/>
  <c r="J250" i="1" s="1"/>
  <c r="K238" i="1"/>
  <c r="I238" i="1"/>
  <c r="J238" i="1" s="1"/>
  <c r="K226" i="1"/>
  <c r="I226" i="1"/>
  <c r="J226" i="1" s="1"/>
  <c r="K214" i="1"/>
  <c r="I214" i="1"/>
  <c r="J214" i="1" s="1"/>
  <c r="K202" i="1"/>
  <c r="I202" i="1"/>
  <c r="J202" i="1" s="1"/>
  <c r="K190" i="1"/>
  <c r="I190" i="1"/>
  <c r="J190" i="1" s="1"/>
  <c r="K178" i="1"/>
  <c r="I178" i="1"/>
  <c r="J178" i="1" s="1"/>
  <c r="K166" i="1"/>
  <c r="I166" i="1"/>
  <c r="J166" i="1" s="1"/>
  <c r="K154" i="1"/>
  <c r="I154" i="1"/>
  <c r="J154" i="1" s="1"/>
  <c r="K142" i="1"/>
  <c r="I142" i="1"/>
  <c r="J142" i="1" s="1"/>
  <c r="K130" i="1"/>
  <c r="I130" i="1"/>
  <c r="J130" i="1" s="1"/>
  <c r="K118" i="1"/>
  <c r="I118" i="1"/>
  <c r="J118" i="1" s="1"/>
  <c r="K106" i="1"/>
  <c r="I106" i="1"/>
  <c r="J106" i="1" s="1"/>
  <c r="K94" i="1"/>
  <c r="I94" i="1"/>
  <c r="J94" i="1" s="1"/>
  <c r="K82" i="1"/>
  <c r="I82" i="1"/>
  <c r="J82" i="1" s="1"/>
  <c r="K70" i="1"/>
  <c r="I70" i="1"/>
  <c r="J70" i="1" s="1"/>
  <c r="K58" i="1"/>
  <c r="I58" i="1"/>
  <c r="J58" i="1" s="1"/>
  <c r="K46" i="1"/>
  <c r="I46" i="1"/>
  <c r="J46" i="1" s="1"/>
  <c r="K34" i="1"/>
  <c r="I34" i="1"/>
  <c r="J34" i="1" s="1"/>
  <c r="K22" i="1"/>
  <c r="I22" i="1"/>
  <c r="J22" i="1" s="1"/>
  <c r="K10" i="1"/>
  <c r="I10" i="1"/>
  <c r="J10" i="1" s="1"/>
  <c r="I997" i="1"/>
  <c r="J997" i="1" s="1"/>
  <c r="I982" i="1"/>
  <c r="J982" i="1" s="1"/>
  <c r="I965" i="1"/>
  <c r="J965" i="1" s="1"/>
  <c r="I949" i="1"/>
  <c r="J949" i="1" s="1"/>
  <c r="I934" i="1"/>
  <c r="J934" i="1" s="1"/>
  <c r="I914" i="1"/>
  <c r="J914" i="1" s="1"/>
  <c r="I888" i="1"/>
  <c r="J888" i="1" s="1"/>
  <c r="I855" i="1"/>
  <c r="J855" i="1" s="1"/>
  <c r="I829" i="1"/>
  <c r="J829" i="1" s="1"/>
  <c r="I803" i="1"/>
  <c r="J803" i="1" s="1"/>
  <c r="I770" i="1"/>
  <c r="J770" i="1" s="1"/>
  <c r="I744" i="1"/>
  <c r="J744" i="1" s="1"/>
  <c r="I711" i="1"/>
  <c r="J711" i="1" s="1"/>
  <c r="I685" i="1"/>
  <c r="J685" i="1" s="1"/>
  <c r="I636" i="1"/>
  <c r="J636" i="1" s="1"/>
  <c r="I564" i="1"/>
  <c r="J564" i="1" s="1"/>
  <c r="I435" i="1"/>
  <c r="J435" i="1" s="1"/>
  <c r="K940" i="1"/>
  <c r="I940" i="1"/>
  <c r="J940" i="1" s="1"/>
  <c r="K993" i="1"/>
  <c r="I993" i="1"/>
  <c r="J993" i="1" s="1"/>
  <c r="K981" i="1"/>
  <c r="I981" i="1"/>
  <c r="J981" i="1" s="1"/>
  <c r="K969" i="1"/>
  <c r="I969" i="1"/>
  <c r="J969" i="1" s="1"/>
  <c r="K957" i="1"/>
  <c r="I957" i="1"/>
  <c r="J957" i="1" s="1"/>
  <c r="K945" i="1"/>
  <c r="I945" i="1"/>
  <c r="J945" i="1" s="1"/>
  <c r="K933" i="1"/>
  <c r="J933" i="1"/>
  <c r="I933" i="1"/>
  <c r="K921" i="1"/>
  <c r="I921" i="1"/>
  <c r="J921" i="1" s="1"/>
  <c r="K909" i="1"/>
  <c r="I909" i="1"/>
  <c r="J909" i="1" s="1"/>
  <c r="K897" i="1"/>
  <c r="I897" i="1"/>
  <c r="J897" i="1" s="1"/>
  <c r="K885" i="1"/>
  <c r="I885" i="1"/>
  <c r="J885" i="1" s="1"/>
  <c r="K873" i="1"/>
  <c r="I873" i="1"/>
  <c r="J873" i="1" s="1"/>
  <c r="K861" i="1"/>
  <c r="I861" i="1"/>
  <c r="J861" i="1" s="1"/>
  <c r="K849" i="1"/>
  <c r="I849" i="1"/>
  <c r="J849" i="1" s="1"/>
  <c r="K837" i="1"/>
  <c r="I837" i="1"/>
  <c r="J837" i="1" s="1"/>
  <c r="K825" i="1"/>
  <c r="I825" i="1"/>
  <c r="J825" i="1" s="1"/>
  <c r="K813" i="1"/>
  <c r="I813" i="1"/>
  <c r="J813" i="1" s="1"/>
  <c r="K801" i="1"/>
  <c r="I801" i="1"/>
  <c r="J801" i="1" s="1"/>
  <c r="K789" i="1"/>
  <c r="I789" i="1"/>
  <c r="J789" i="1" s="1"/>
  <c r="K777" i="1"/>
  <c r="I777" i="1"/>
  <c r="J777" i="1" s="1"/>
  <c r="K765" i="1"/>
  <c r="I765" i="1"/>
  <c r="J765" i="1" s="1"/>
  <c r="K753" i="1"/>
  <c r="I753" i="1"/>
  <c r="J753" i="1" s="1"/>
  <c r="K741" i="1"/>
  <c r="I741" i="1"/>
  <c r="J741" i="1" s="1"/>
  <c r="K729" i="1"/>
  <c r="I729" i="1"/>
  <c r="J729" i="1" s="1"/>
  <c r="K717" i="1"/>
  <c r="I717" i="1"/>
  <c r="J717" i="1" s="1"/>
  <c r="K705" i="1"/>
  <c r="I705" i="1"/>
  <c r="J705" i="1" s="1"/>
  <c r="K693" i="1"/>
  <c r="I693" i="1"/>
  <c r="J693" i="1" s="1"/>
  <c r="K681" i="1"/>
  <c r="I681" i="1"/>
  <c r="J681" i="1" s="1"/>
  <c r="K669" i="1"/>
  <c r="I669" i="1"/>
  <c r="J669" i="1" s="1"/>
  <c r="K657" i="1"/>
  <c r="I657" i="1"/>
  <c r="J657" i="1" s="1"/>
  <c r="K645" i="1"/>
  <c r="I645" i="1"/>
  <c r="J645" i="1" s="1"/>
  <c r="K633" i="1"/>
  <c r="I633" i="1"/>
  <c r="J633" i="1" s="1"/>
  <c r="K621" i="1"/>
  <c r="I621" i="1"/>
  <c r="J621" i="1" s="1"/>
  <c r="K609" i="1"/>
  <c r="I609" i="1"/>
  <c r="J609" i="1" s="1"/>
  <c r="K597" i="1"/>
  <c r="I597" i="1"/>
  <c r="J597" i="1" s="1"/>
  <c r="K585" i="1"/>
  <c r="I585" i="1"/>
  <c r="J585" i="1" s="1"/>
  <c r="K573" i="1"/>
  <c r="I573" i="1"/>
  <c r="J573" i="1" s="1"/>
  <c r="K561" i="1"/>
  <c r="I561" i="1"/>
  <c r="J561" i="1" s="1"/>
  <c r="K549" i="1"/>
  <c r="I549" i="1"/>
  <c r="J549" i="1" s="1"/>
  <c r="K537" i="1"/>
  <c r="I537" i="1"/>
  <c r="J537" i="1" s="1"/>
  <c r="K525" i="1"/>
  <c r="I525" i="1"/>
  <c r="J525" i="1" s="1"/>
  <c r="K513" i="1"/>
  <c r="I513" i="1"/>
  <c r="J513" i="1" s="1"/>
  <c r="K501" i="1"/>
  <c r="J501" i="1"/>
  <c r="I501" i="1"/>
  <c r="K489" i="1"/>
  <c r="I489" i="1"/>
  <c r="J489" i="1" s="1"/>
  <c r="K477" i="1"/>
  <c r="I477" i="1"/>
  <c r="J477" i="1" s="1"/>
  <c r="K465" i="1"/>
  <c r="I465" i="1"/>
  <c r="J465" i="1" s="1"/>
  <c r="K453" i="1"/>
  <c r="J453" i="1"/>
  <c r="I453" i="1"/>
  <c r="K441" i="1"/>
  <c r="I441" i="1"/>
  <c r="J441" i="1" s="1"/>
  <c r="K429" i="1"/>
  <c r="I429" i="1"/>
  <c r="J429" i="1" s="1"/>
  <c r="K417" i="1"/>
  <c r="I417" i="1"/>
  <c r="J417" i="1" s="1"/>
  <c r="K405" i="1"/>
  <c r="I405" i="1"/>
  <c r="J405" i="1" s="1"/>
  <c r="K393" i="1"/>
  <c r="I393" i="1"/>
  <c r="J393" i="1" s="1"/>
  <c r="K381" i="1"/>
  <c r="J381" i="1"/>
  <c r="K369" i="1"/>
  <c r="J369" i="1"/>
  <c r="I369" i="1"/>
  <c r="K357" i="1"/>
  <c r="I357" i="1"/>
  <c r="J357" i="1" s="1"/>
  <c r="K345" i="1"/>
  <c r="J345" i="1"/>
  <c r="K333" i="1"/>
  <c r="I333" i="1"/>
  <c r="J333" i="1" s="1"/>
  <c r="K321" i="1"/>
  <c r="I321" i="1"/>
  <c r="J321" i="1" s="1"/>
  <c r="K309" i="1"/>
  <c r="J309" i="1"/>
  <c r="K297" i="1"/>
  <c r="I297" i="1"/>
  <c r="J297" i="1" s="1"/>
  <c r="K285" i="1"/>
  <c r="I285" i="1"/>
  <c r="J285" i="1" s="1"/>
  <c r="K273" i="1"/>
  <c r="K261" i="1"/>
  <c r="I261" i="1"/>
  <c r="J261" i="1" s="1"/>
  <c r="K249" i="1"/>
  <c r="I249" i="1"/>
  <c r="J249" i="1" s="1"/>
  <c r="K237" i="1"/>
  <c r="K225" i="1"/>
  <c r="I225" i="1"/>
  <c r="J225" i="1" s="1"/>
  <c r="K213" i="1"/>
  <c r="I213" i="1"/>
  <c r="J213" i="1" s="1"/>
  <c r="K201" i="1"/>
  <c r="J201" i="1"/>
  <c r="K189" i="1"/>
  <c r="I189" i="1"/>
  <c r="J189" i="1" s="1"/>
  <c r="K177" i="1"/>
  <c r="I177" i="1"/>
  <c r="J177" i="1" s="1"/>
  <c r="K165" i="1"/>
  <c r="I165" i="1"/>
  <c r="J165" i="1" s="1"/>
  <c r="K153" i="1"/>
  <c r="I153" i="1"/>
  <c r="J153" i="1" s="1"/>
  <c r="K141" i="1"/>
  <c r="I141" i="1"/>
  <c r="J141" i="1" s="1"/>
  <c r="K129" i="1"/>
  <c r="I129" i="1"/>
  <c r="J129" i="1" s="1"/>
  <c r="K117" i="1"/>
  <c r="I117" i="1"/>
  <c r="J117" i="1" s="1"/>
  <c r="K105" i="1"/>
  <c r="I105" i="1"/>
  <c r="J105" i="1" s="1"/>
  <c r="K93" i="1"/>
  <c r="I93" i="1"/>
  <c r="J93" i="1" s="1"/>
  <c r="K81" i="1"/>
  <c r="I81" i="1"/>
  <c r="J81" i="1" s="1"/>
  <c r="K69" i="1"/>
  <c r="I69" i="1"/>
  <c r="J69" i="1" s="1"/>
  <c r="K57" i="1"/>
  <c r="I57" i="1"/>
  <c r="J57" i="1" s="1"/>
  <c r="K45" i="1"/>
  <c r="I45" i="1"/>
  <c r="J45" i="1" s="1"/>
  <c r="K33" i="1"/>
  <c r="I33" i="1"/>
  <c r="J33" i="1" s="1"/>
  <c r="K21" i="1"/>
  <c r="I21" i="1"/>
  <c r="J21" i="1" s="1"/>
  <c r="K9" i="1"/>
  <c r="I9" i="1"/>
  <c r="J9" i="1" s="1"/>
  <c r="I996" i="1"/>
  <c r="J996" i="1" s="1"/>
  <c r="I963" i="1"/>
  <c r="J963" i="1" s="1"/>
  <c r="I948" i="1"/>
  <c r="J948" i="1" s="1"/>
  <c r="I913" i="1"/>
  <c r="J913" i="1" s="1"/>
  <c r="I887" i="1"/>
  <c r="J887" i="1" s="1"/>
  <c r="I854" i="1"/>
  <c r="J854" i="1" s="1"/>
  <c r="I828" i="1"/>
  <c r="J828" i="1" s="1"/>
  <c r="I795" i="1"/>
  <c r="J795" i="1" s="1"/>
  <c r="I769" i="1"/>
  <c r="J769" i="1" s="1"/>
  <c r="I743" i="1"/>
  <c r="J743" i="1" s="1"/>
  <c r="I710" i="1"/>
  <c r="J710" i="1" s="1"/>
  <c r="I684" i="1"/>
  <c r="J684" i="1" s="1"/>
  <c r="I627" i="1"/>
  <c r="J627" i="1" s="1"/>
  <c r="I555" i="1"/>
  <c r="J555" i="1" s="1"/>
  <c r="I423" i="1"/>
  <c r="J423" i="1" s="1"/>
  <c r="I220" i="1"/>
  <c r="J220" i="1" s="1"/>
  <c r="J804" i="1"/>
  <c r="K980" i="1"/>
  <c r="I980" i="1"/>
  <c r="J980" i="1" s="1"/>
  <c r="K956" i="1"/>
  <c r="I956" i="1"/>
  <c r="J956" i="1" s="1"/>
  <c r="K932" i="1"/>
  <c r="I932" i="1"/>
  <c r="J932" i="1" s="1"/>
  <c r="K920" i="1"/>
  <c r="I920" i="1"/>
  <c r="J920" i="1" s="1"/>
  <c r="K908" i="1"/>
  <c r="I908" i="1"/>
  <c r="J908" i="1" s="1"/>
  <c r="K884" i="1"/>
  <c r="I884" i="1"/>
  <c r="J884" i="1" s="1"/>
  <c r="K872" i="1"/>
  <c r="I872" i="1"/>
  <c r="J872" i="1" s="1"/>
  <c r="K860" i="1"/>
  <c r="I860" i="1"/>
  <c r="J860" i="1" s="1"/>
  <c r="K848" i="1"/>
  <c r="I848" i="1"/>
  <c r="J848" i="1" s="1"/>
  <c r="K836" i="1"/>
  <c r="I836" i="1"/>
  <c r="J836" i="1" s="1"/>
  <c r="K824" i="1"/>
  <c r="I824" i="1"/>
  <c r="J824" i="1" s="1"/>
  <c r="K812" i="1"/>
  <c r="I812" i="1"/>
  <c r="J812" i="1" s="1"/>
  <c r="K800" i="1"/>
  <c r="I800" i="1"/>
  <c r="J800" i="1" s="1"/>
  <c r="K788" i="1"/>
  <c r="I788" i="1"/>
  <c r="J788" i="1" s="1"/>
  <c r="K776" i="1"/>
  <c r="I776" i="1"/>
  <c r="J776" i="1" s="1"/>
  <c r="K764" i="1"/>
  <c r="I764" i="1"/>
  <c r="J764" i="1" s="1"/>
  <c r="K752" i="1"/>
  <c r="I752" i="1"/>
  <c r="J752" i="1" s="1"/>
  <c r="K740" i="1"/>
  <c r="I740" i="1"/>
  <c r="J740" i="1" s="1"/>
  <c r="K716" i="1"/>
  <c r="I716" i="1"/>
  <c r="J716" i="1" s="1"/>
  <c r="K704" i="1"/>
  <c r="I704" i="1"/>
  <c r="J704" i="1" s="1"/>
  <c r="K692" i="1"/>
  <c r="I692" i="1"/>
  <c r="J692" i="1" s="1"/>
  <c r="K680" i="1"/>
  <c r="I680" i="1"/>
  <c r="J680" i="1" s="1"/>
  <c r="K668" i="1"/>
  <c r="I668" i="1"/>
  <c r="J668" i="1" s="1"/>
  <c r="K656" i="1"/>
  <c r="I656" i="1"/>
  <c r="J656" i="1" s="1"/>
  <c r="K644" i="1"/>
  <c r="I644" i="1"/>
  <c r="J644" i="1" s="1"/>
  <c r="K632" i="1"/>
  <c r="I632" i="1"/>
  <c r="J632" i="1" s="1"/>
  <c r="K620" i="1"/>
  <c r="I620" i="1"/>
  <c r="J620" i="1" s="1"/>
  <c r="K608" i="1"/>
  <c r="I608" i="1"/>
  <c r="J608" i="1" s="1"/>
  <c r="K596" i="1"/>
  <c r="J596" i="1"/>
  <c r="I596" i="1"/>
  <c r="K584" i="1"/>
  <c r="I584" i="1"/>
  <c r="J584" i="1" s="1"/>
  <c r="K572" i="1"/>
  <c r="I572" i="1"/>
  <c r="J572" i="1" s="1"/>
  <c r="K560" i="1"/>
  <c r="I560" i="1"/>
  <c r="J560" i="1" s="1"/>
  <c r="K548" i="1"/>
  <c r="I548" i="1"/>
  <c r="J548" i="1" s="1"/>
  <c r="K536" i="1"/>
  <c r="I536" i="1"/>
  <c r="J536" i="1" s="1"/>
  <c r="K524" i="1"/>
  <c r="I524" i="1"/>
  <c r="J524" i="1" s="1"/>
  <c r="K512" i="1"/>
  <c r="I512" i="1"/>
  <c r="J512" i="1" s="1"/>
  <c r="K500" i="1"/>
  <c r="I500" i="1"/>
  <c r="J500" i="1" s="1"/>
  <c r="K488" i="1"/>
  <c r="I488" i="1"/>
  <c r="J488" i="1" s="1"/>
  <c r="K476" i="1"/>
  <c r="I476" i="1"/>
  <c r="J476" i="1" s="1"/>
  <c r="K464" i="1"/>
  <c r="I464" i="1"/>
  <c r="J464" i="1" s="1"/>
  <c r="K452" i="1"/>
  <c r="I452" i="1"/>
  <c r="J452" i="1" s="1"/>
  <c r="K440" i="1"/>
  <c r="I440" i="1"/>
  <c r="J440" i="1" s="1"/>
  <c r="K428" i="1"/>
  <c r="J428" i="1"/>
  <c r="I428" i="1"/>
  <c r="K416" i="1"/>
  <c r="I416" i="1"/>
  <c r="J416" i="1" s="1"/>
  <c r="K404" i="1"/>
  <c r="I404" i="1"/>
  <c r="J404" i="1" s="1"/>
  <c r="K392" i="1"/>
  <c r="I392" i="1"/>
  <c r="J392" i="1" s="1"/>
  <c r="K380" i="1"/>
  <c r="I380" i="1"/>
  <c r="J380" i="1" s="1"/>
  <c r="K368" i="1"/>
  <c r="I368" i="1"/>
  <c r="J368" i="1" s="1"/>
  <c r="K356" i="1"/>
  <c r="I356" i="1"/>
  <c r="J356" i="1" s="1"/>
  <c r="K344" i="1"/>
  <c r="I344" i="1"/>
  <c r="J344" i="1" s="1"/>
  <c r="K332" i="1"/>
  <c r="I332" i="1"/>
  <c r="J332" i="1" s="1"/>
  <c r="K320" i="1"/>
  <c r="I320" i="1"/>
  <c r="J320" i="1" s="1"/>
  <c r="K308" i="1"/>
  <c r="I308" i="1"/>
  <c r="J308" i="1" s="1"/>
  <c r="K296" i="1"/>
  <c r="I296" i="1"/>
  <c r="J296" i="1" s="1"/>
  <c r="K284" i="1"/>
  <c r="I284" i="1"/>
  <c r="J284" i="1" s="1"/>
  <c r="K272" i="1"/>
  <c r="I272" i="1"/>
  <c r="J272" i="1" s="1"/>
  <c r="K260" i="1"/>
  <c r="I260" i="1"/>
  <c r="J260" i="1" s="1"/>
  <c r="K248" i="1"/>
  <c r="I248" i="1"/>
  <c r="J248" i="1" s="1"/>
  <c r="K236" i="1"/>
  <c r="I236" i="1"/>
  <c r="J236" i="1" s="1"/>
  <c r="K224" i="1"/>
  <c r="I224" i="1"/>
  <c r="J224" i="1" s="1"/>
  <c r="K212" i="1"/>
  <c r="I212" i="1"/>
  <c r="J212" i="1" s="1"/>
  <c r="K200" i="1"/>
  <c r="I200" i="1"/>
  <c r="J200" i="1" s="1"/>
  <c r="K188" i="1"/>
  <c r="I188" i="1"/>
  <c r="J188" i="1" s="1"/>
  <c r="K176" i="1"/>
  <c r="I176" i="1"/>
  <c r="J176" i="1" s="1"/>
  <c r="K164" i="1"/>
  <c r="I164" i="1"/>
  <c r="J164" i="1" s="1"/>
  <c r="K152" i="1"/>
  <c r="I152" i="1"/>
  <c r="J152" i="1" s="1"/>
  <c r="K140" i="1"/>
  <c r="I140" i="1"/>
  <c r="J140" i="1" s="1"/>
  <c r="K128" i="1"/>
  <c r="I128" i="1"/>
  <c r="J128" i="1" s="1"/>
  <c r="K116" i="1"/>
  <c r="I116" i="1"/>
  <c r="J116" i="1" s="1"/>
  <c r="K104" i="1"/>
  <c r="I104" i="1"/>
  <c r="J104" i="1" s="1"/>
  <c r="K92" i="1"/>
  <c r="I92" i="1"/>
  <c r="J92" i="1" s="1"/>
  <c r="K80" i="1"/>
  <c r="I80" i="1"/>
  <c r="J80" i="1" s="1"/>
  <c r="K68" i="1"/>
  <c r="I68" i="1"/>
  <c r="J68" i="1" s="1"/>
  <c r="K56" i="1"/>
  <c r="I56" i="1"/>
  <c r="J56" i="1" s="1"/>
  <c r="K44" i="1"/>
  <c r="I44" i="1"/>
  <c r="J44" i="1" s="1"/>
  <c r="K32" i="1"/>
  <c r="I32" i="1"/>
  <c r="J32" i="1" s="1"/>
  <c r="K20" i="1"/>
  <c r="I20" i="1"/>
  <c r="J20" i="1" s="1"/>
  <c r="K8" i="1"/>
  <c r="I8" i="1"/>
  <c r="J8" i="1" s="1"/>
  <c r="I995" i="1"/>
  <c r="J995" i="1" s="1"/>
  <c r="I978" i="1"/>
  <c r="J978" i="1" s="1"/>
  <c r="I962" i="1"/>
  <c r="J962" i="1" s="1"/>
  <c r="I947" i="1"/>
  <c r="J947" i="1" s="1"/>
  <c r="I930" i="1"/>
  <c r="J930" i="1" s="1"/>
  <c r="I912" i="1"/>
  <c r="J912" i="1" s="1"/>
  <c r="I879" i="1"/>
  <c r="J879" i="1" s="1"/>
  <c r="I853" i="1"/>
  <c r="J853" i="1" s="1"/>
  <c r="I827" i="1"/>
  <c r="J827" i="1" s="1"/>
  <c r="I794" i="1"/>
  <c r="J794" i="1" s="1"/>
  <c r="I768" i="1"/>
  <c r="J768" i="1" s="1"/>
  <c r="I735" i="1"/>
  <c r="J735" i="1" s="1"/>
  <c r="I709" i="1"/>
  <c r="J709" i="1" s="1"/>
  <c r="I683" i="1"/>
  <c r="J683" i="1" s="1"/>
  <c r="I624" i="1"/>
  <c r="J624" i="1" s="1"/>
  <c r="I552" i="1"/>
  <c r="J552" i="1" s="1"/>
  <c r="I411" i="1"/>
  <c r="J411" i="1" s="1"/>
  <c r="I201" i="1"/>
  <c r="K952" i="1"/>
  <c r="I952" i="1"/>
  <c r="J952" i="1" s="1"/>
  <c r="K892" i="1"/>
  <c r="I892" i="1"/>
  <c r="J892" i="1" s="1"/>
  <c r="K832" i="1"/>
  <c r="I832" i="1"/>
  <c r="J832" i="1" s="1"/>
  <c r="K772" i="1"/>
  <c r="I772" i="1"/>
  <c r="J772" i="1" s="1"/>
  <c r="K712" i="1"/>
  <c r="I712" i="1"/>
  <c r="J712" i="1" s="1"/>
  <c r="K676" i="1"/>
  <c r="I676" i="1"/>
  <c r="J676" i="1" s="1"/>
  <c r="K628" i="1"/>
  <c r="I628" i="1"/>
  <c r="J628" i="1" s="1"/>
  <c r="K592" i="1"/>
  <c r="I592" i="1"/>
  <c r="J592" i="1" s="1"/>
  <c r="K556" i="1"/>
  <c r="I556" i="1"/>
  <c r="J556" i="1" s="1"/>
  <c r="K520" i="1"/>
  <c r="I520" i="1"/>
  <c r="J520" i="1" s="1"/>
  <c r="K472" i="1"/>
  <c r="I472" i="1"/>
  <c r="J472" i="1" s="1"/>
  <c r="K436" i="1"/>
  <c r="I436" i="1"/>
  <c r="J436" i="1" s="1"/>
  <c r="K388" i="1"/>
  <c r="I388" i="1"/>
  <c r="J388" i="1" s="1"/>
  <c r="K364" i="1"/>
  <c r="J364" i="1"/>
  <c r="K316" i="1"/>
  <c r="J316" i="1"/>
  <c r="I316" i="1"/>
  <c r="K268" i="1"/>
  <c r="I268" i="1"/>
  <c r="J268" i="1" s="1"/>
  <c r="K208" i="1"/>
  <c r="I208" i="1"/>
  <c r="J208" i="1" s="1"/>
  <c r="K160" i="1"/>
  <c r="J160" i="1"/>
  <c r="I112" i="1"/>
  <c r="J112" i="1" s="1"/>
  <c r="K992" i="1"/>
  <c r="I992" i="1"/>
  <c r="J992" i="1" s="1"/>
  <c r="K968" i="1"/>
  <c r="I968" i="1"/>
  <c r="J968" i="1" s="1"/>
  <c r="K944" i="1"/>
  <c r="I944" i="1"/>
  <c r="J944" i="1" s="1"/>
  <c r="K896" i="1"/>
  <c r="I896" i="1"/>
  <c r="J896" i="1" s="1"/>
  <c r="K728" i="1"/>
  <c r="I728" i="1"/>
  <c r="J728" i="1" s="1"/>
  <c r="K991" i="1"/>
  <c r="J991" i="1"/>
  <c r="K979" i="1"/>
  <c r="J979" i="1"/>
  <c r="K967" i="1"/>
  <c r="J967" i="1"/>
  <c r="J955" i="1"/>
  <c r="K955" i="1"/>
  <c r="K943" i="1"/>
  <c r="J943" i="1"/>
  <c r="K931" i="1"/>
  <c r="J931" i="1"/>
  <c r="K919" i="1"/>
  <c r="I919" i="1"/>
  <c r="J919" i="1" s="1"/>
  <c r="K907" i="1"/>
  <c r="I907" i="1"/>
  <c r="J907" i="1" s="1"/>
  <c r="K895" i="1"/>
  <c r="I895" i="1"/>
  <c r="J895" i="1" s="1"/>
  <c r="K883" i="1"/>
  <c r="I883" i="1"/>
  <c r="J883" i="1" s="1"/>
  <c r="K871" i="1"/>
  <c r="I871" i="1"/>
  <c r="J871" i="1" s="1"/>
  <c r="K859" i="1"/>
  <c r="I859" i="1"/>
  <c r="J859" i="1" s="1"/>
  <c r="K847" i="1"/>
  <c r="I847" i="1"/>
  <c r="J847" i="1" s="1"/>
  <c r="K835" i="1"/>
  <c r="I835" i="1"/>
  <c r="J835" i="1" s="1"/>
  <c r="K823" i="1"/>
  <c r="I823" i="1"/>
  <c r="J823" i="1" s="1"/>
  <c r="K811" i="1"/>
  <c r="I811" i="1"/>
  <c r="J811" i="1" s="1"/>
  <c r="K799" i="1"/>
  <c r="I799" i="1"/>
  <c r="J799" i="1" s="1"/>
  <c r="K787" i="1"/>
  <c r="I787" i="1"/>
  <c r="J787" i="1" s="1"/>
  <c r="K775" i="1"/>
  <c r="I775" i="1"/>
  <c r="J775" i="1" s="1"/>
  <c r="K763" i="1"/>
  <c r="I763" i="1"/>
  <c r="J763" i="1" s="1"/>
  <c r="K751" i="1"/>
  <c r="I751" i="1"/>
  <c r="J751" i="1" s="1"/>
  <c r="K739" i="1"/>
  <c r="I739" i="1"/>
  <c r="J739" i="1" s="1"/>
  <c r="K727" i="1"/>
  <c r="I727" i="1"/>
  <c r="J727" i="1" s="1"/>
  <c r="K715" i="1"/>
  <c r="I715" i="1"/>
  <c r="J715" i="1" s="1"/>
  <c r="K703" i="1"/>
  <c r="I703" i="1"/>
  <c r="J703" i="1" s="1"/>
  <c r="K691" i="1"/>
  <c r="I691" i="1"/>
  <c r="J691" i="1" s="1"/>
  <c r="K679" i="1"/>
  <c r="I679" i="1"/>
  <c r="J679" i="1" s="1"/>
  <c r="K667" i="1"/>
  <c r="I667" i="1"/>
  <c r="J667" i="1" s="1"/>
  <c r="K655" i="1"/>
  <c r="J655" i="1"/>
  <c r="I655" i="1"/>
  <c r="K643" i="1"/>
  <c r="I643" i="1"/>
  <c r="J643" i="1" s="1"/>
  <c r="K631" i="1"/>
  <c r="I631" i="1"/>
  <c r="J631" i="1" s="1"/>
  <c r="K619" i="1"/>
  <c r="I619" i="1"/>
  <c r="J619" i="1" s="1"/>
  <c r="K607" i="1"/>
  <c r="I607" i="1"/>
  <c r="J607" i="1" s="1"/>
  <c r="K595" i="1"/>
  <c r="I595" i="1"/>
  <c r="J595" i="1" s="1"/>
  <c r="K583" i="1"/>
  <c r="I583" i="1"/>
  <c r="J583" i="1" s="1"/>
  <c r="K571" i="1"/>
  <c r="I571" i="1"/>
  <c r="J571" i="1" s="1"/>
  <c r="K559" i="1"/>
  <c r="J559" i="1"/>
  <c r="I559" i="1"/>
  <c r="K547" i="1"/>
  <c r="I547" i="1"/>
  <c r="J547" i="1" s="1"/>
  <c r="K535" i="1"/>
  <c r="I535" i="1"/>
  <c r="J535" i="1" s="1"/>
  <c r="K523" i="1"/>
  <c r="I523" i="1"/>
  <c r="J523" i="1" s="1"/>
  <c r="K511" i="1"/>
  <c r="I511" i="1"/>
  <c r="J511" i="1" s="1"/>
  <c r="K499" i="1"/>
  <c r="J499" i="1"/>
  <c r="I499" i="1"/>
  <c r="K487" i="1"/>
  <c r="I487" i="1"/>
  <c r="J487" i="1" s="1"/>
  <c r="K475" i="1"/>
  <c r="I475" i="1"/>
  <c r="J475" i="1" s="1"/>
  <c r="K463" i="1"/>
  <c r="I463" i="1"/>
  <c r="J463" i="1" s="1"/>
  <c r="K451" i="1"/>
  <c r="I451" i="1"/>
  <c r="J451" i="1" s="1"/>
  <c r="K439" i="1"/>
  <c r="I439" i="1"/>
  <c r="J439" i="1" s="1"/>
  <c r="K427" i="1"/>
  <c r="I427" i="1"/>
  <c r="J427" i="1" s="1"/>
  <c r="K415" i="1"/>
  <c r="I415" i="1"/>
  <c r="J415" i="1" s="1"/>
  <c r="K403" i="1"/>
  <c r="I403" i="1"/>
  <c r="J403" i="1" s="1"/>
  <c r="K391" i="1"/>
  <c r="I391" i="1"/>
  <c r="J391" i="1" s="1"/>
  <c r="K379" i="1"/>
  <c r="I379" i="1"/>
  <c r="J379" i="1" s="1"/>
  <c r="K367" i="1"/>
  <c r="I367" i="1"/>
  <c r="J367" i="1" s="1"/>
  <c r="K355" i="1"/>
  <c r="J355" i="1"/>
  <c r="I355" i="1"/>
  <c r="K343" i="1"/>
  <c r="I343" i="1"/>
  <c r="J343" i="1" s="1"/>
  <c r="K331" i="1"/>
  <c r="I331" i="1"/>
  <c r="J331" i="1" s="1"/>
  <c r="K319" i="1"/>
  <c r="I319" i="1"/>
  <c r="J319" i="1" s="1"/>
  <c r="K307" i="1"/>
  <c r="I307" i="1"/>
  <c r="J307" i="1" s="1"/>
  <c r="K295" i="1"/>
  <c r="I295" i="1"/>
  <c r="J295" i="1" s="1"/>
  <c r="K283" i="1"/>
  <c r="I283" i="1"/>
  <c r="J283" i="1" s="1"/>
  <c r="K271" i="1"/>
  <c r="I271" i="1"/>
  <c r="J271" i="1" s="1"/>
  <c r="K259" i="1"/>
  <c r="I259" i="1"/>
  <c r="J259" i="1" s="1"/>
  <c r="K247" i="1"/>
  <c r="I247" i="1"/>
  <c r="J247" i="1" s="1"/>
  <c r="K235" i="1"/>
  <c r="I235" i="1"/>
  <c r="J235" i="1" s="1"/>
  <c r="K223" i="1"/>
  <c r="I223" i="1"/>
  <c r="J223" i="1" s="1"/>
  <c r="K211" i="1"/>
  <c r="I211" i="1"/>
  <c r="J211" i="1" s="1"/>
  <c r="K199" i="1"/>
  <c r="I199" i="1"/>
  <c r="J199" i="1" s="1"/>
  <c r="K187" i="1"/>
  <c r="I187" i="1"/>
  <c r="J187" i="1" s="1"/>
  <c r="K175" i="1"/>
  <c r="J175" i="1"/>
  <c r="I175" i="1"/>
  <c r="K163" i="1"/>
  <c r="I163" i="1"/>
  <c r="J163" i="1" s="1"/>
  <c r="K151" i="1"/>
  <c r="I151" i="1"/>
  <c r="J151" i="1" s="1"/>
  <c r="K139" i="1"/>
  <c r="J139" i="1"/>
  <c r="I139" i="1"/>
  <c r="K127" i="1"/>
  <c r="I127" i="1"/>
  <c r="J127" i="1" s="1"/>
  <c r="K115" i="1"/>
  <c r="J115" i="1"/>
  <c r="I115" i="1"/>
  <c r="K103" i="1"/>
  <c r="I103" i="1"/>
  <c r="J103" i="1" s="1"/>
  <c r="K91" i="1"/>
  <c r="J91" i="1"/>
  <c r="I91" i="1"/>
  <c r="K79" i="1"/>
  <c r="I79" i="1"/>
  <c r="J79" i="1" s="1"/>
  <c r="K67" i="1"/>
  <c r="I67" i="1"/>
  <c r="J67" i="1" s="1"/>
  <c r="K55" i="1"/>
  <c r="I55" i="1"/>
  <c r="J55" i="1" s="1"/>
  <c r="K43" i="1"/>
  <c r="I43" i="1"/>
  <c r="J43" i="1" s="1"/>
  <c r="K31" i="1"/>
  <c r="I31" i="1"/>
  <c r="J31" i="1" s="1"/>
  <c r="K19" i="1"/>
  <c r="J19" i="1"/>
  <c r="I19" i="1"/>
  <c r="K7" i="1"/>
  <c r="I7" i="1"/>
  <c r="J7" i="1" s="1"/>
  <c r="I994" i="1"/>
  <c r="J994" i="1" s="1"/>
  <c r="I977" i="1"/>
  <c r="J977" i="1" s="1"/>
  <c r="I961" i="1"/>
  <c r="J961" i="1" s="1"/>
  <c r="I946" i="1"/>
  <c r="J946" i="1" s="1"/>
  <c r="I929" i="1"/>
  <c r="J929" i="1" s="1"/>
  <c r="I911" i="1"/>
  <c r="J911" i="1" s="1"/>
  <c r="I878" i="1"/>
  <c r="J878" i="1" s="1"/>
  <c r="I852" i="1"/>
  <c r="J852" i="1" s="1"/>
  <c r="I819" i="1"/>
  <c r="J819" i="1" s="1"/>
  <c r="I793" i="1"/>
  <c r="J793" i="1" s="1"/>
  <c r="I767" i="1"/>
  <c r="J767" i="1" s="1"/>
  <c r="I734" i="1"/>
  <c r="J734" i="1" s="1"/>
  <c r="I708" i="1"/>
  <c r="J708" i="1" s="1"/>
  <c r="I675" i="1"/>
  <c r="J675" i="1" s="1"/>
  <c r="I615" i="1"/>
  <c r="J615" i="1" s="1"/>
  <c r="I543" i="1"/>
  <c r="J543" i="1" s="1"/>
  <c r="I399" i="1"/>
  <c r="J399" i="1" s="1"/>
  <c r="I184" i="1"/>
  <c r="J184" i="1" s="1"/>
  <c r="J445" i="1"/>
  <c r="I468" i="1"/>
  <c r="J468" i="1" s="1"/>
  <c r="K341" i="1"/>
  <c r="I341" i="1"/>
  <c r="J341" i="1"/>
  <c r="K329" i="1"/>
  <c r="I329" i="1"/>
  <c r="J329" i="1" s="1"/>
  <c r="K317" i="1"/>
  <c r="I317" i="1"/>
  <c r="J317" i="1"/>
  <c r="K305" i="1"/>
  <c r="I305" i="1"/>
  <c r="J305" i="1" s="1"/>
  <c r="K293" i="1"/>
  <c r="I293" i="1"/>
  <c r="J293" i="1" s="1"/>
  <c r="K281" i="1"/>
  <c r="I281" i="1"/>
  <c r="J281" i="1" s="1"/>
  <c r="K269" i="1"/>
  <c r="I269" i="1"/>
  <c r="J269" i="1" s="1"/>
  <c r="K257" i="1"/>
  <c r="I257" i="1"/>
  <c r="J257" i="1" s="1"/>
  <c r="K245" i="1"/>
  <c r="I245" i="1"/>
  <c r="J245" i="1" s="1"/>
  <c r="K233" i="1"/>
  <c r="I233" i="1"/>
  <c r="J233" i="1" s="1"/>
  <c r="K221" i="1"/>
  <c r="I221" i="1"/>
  <c r="J221" i="1" s="1"/>
  <c r="K209" i="1"/>
  <c r="I209" i="1"/>
  <c r="J209" i="1" s="1"/>
  <c r="K197" i="1"/>
  <c r="I197" i="1"/>
  <c r="J197" i="1" s="1"/>
  <c r="K185" i="1"/>
  <c r="I185" i="1"/>
  <c r="J185" i="1" s="1"/>
  <c r="K173" i="1"/>
  <c r="I173" i="1"/>
  <c r="J173" i="1" s="1"/>
  <c r="K161" i="1"/>
  <c r="I161" i="1"/>
  <c r="J161" i="1" s="1"/>
  <c r="K149" i="1"/>
  <c r="I149" i="1"/>
  <c r="J149" i="1" s="1"/>
  <c r="K137" i="1"/>
  <c r="I137" i="1"/>
  <c r="J137" i="1" s="1"/>
  <c r="K125" i="1"/>
  <c r="I125" i="1"/>
  <c r="J125" i="1" s="1"/>
  <c r="K113" i="1"/>
  <c r="I113" i="1"/>
  <c r="J113" i="1" s="1"/>
  <c r="K101" i="1"/>
  <c r="I101" i="1"/>
  <c r="J101" i="1" s="1"/>
  <c r="K89" i="1"/>
  <c r="I89" i="1"/>
  <c r="J89" i="1" s="1"/>
  <c r="K77" i="1"/>
  <c r="I77" i="1"/>
  <c r="J77" i="1" s="1"/>
  <c r="K65" i="1"/>
  <c r="I65" i="1"/>
  <c r="J65" i="1" s="1"/>
  <c r="K53" i="1"/>
  <c r="I53" i="1"/>
  <c r="J53" i="1" s="1"/>
  <c r="K41" i="1"/>
  <c r="I41" i="1"/>
  <c r="J41" i="1" s="1"/>
  <c r="K29" i="1"/>
  <c r="I29" i="1"/>
  <c r="J29" i="1" s="1"/>
  <c r="K17" i="1"/>
  <c r="I17" i="1"/>
  <c r="J17" i="1" s="1"/>
  <c r="K5" i="1"/>
  <c r="I5" i="1"/>
  <c r="J5" i="1" s="1"/>
  <c r="K100" i="1"/>
  <c r="J100" i="1"/>
  <c r="K88" i="1"/>
  <c r="J88" i="1"/>
  <c r="K76" i="1"/>
  <c r="J76" i="1"/>
  <c r="K64" i="1"/>
  <c r="K52" i="1"/>
  <c r="K40" i="1"/>
  <c r="J40" i="1"/>
  <c r="K28" i="1"/>
  <c r="K16" i="1"/>
  <c r="J16" i="1"/>
  <c r="K4" i="1"/>
  <c r="K492" i="1"/>
  <c r="J492" i="1"/>
  <c r="K480" i="1"/>
  <c r="J480" i="1"/>
  <c r="K456" i="1"/>
  <c r="J456" i="1"/>
  <c r="J444" i="1"/>
  <c r="K444" i="1"/>
  <c r="J432" i="1"/>
  <c r="K432" i="1"/>
  <c r="J420" i="1"/>
  <c r="K420" i="1"/>
  <c r="J408" i="1"/>
  <c r="K408" i="1"/>
  <c r="J396" i="1"/>
  <c r="K396" i="1"/>
  <c r="K384" i="1"/>
  <c r="J384" i="1"/>
  <c r="K372" i="1"/>
  <c r="J372" i="1"/>
  <c r="K360" i="1"/>
  <c r="J360" i="1"/>
  <c r="K348" i="1"/>
  <c r="J348" i="1"/>
  <c r="K336" i="1"/>
  <c r="J336" i="1"/>
  <c r="K324" i="1"/>
  <c r="J324" i="1"/>
  <c r="K312" i="1"/>
  <c r="J312" i="1"/>
  <c r="J300" i="1"/>
  <c r="K300" i="1"/>
  <c r="J288" i="1"/>
  <c r="K288" i="1"/>
  <c r="J276" i="1"/>
  <c r="K276" i="1"/>
  <c r="J264" i="1"/>
  <c r="K264" i="1"/>
  <c r="J252" i="1"/>
  <c r="K252" i="1"/>
  <c r="K240" i="1"/>
  <c r="J240" i="1"/>
  <c r="K228" i="1"/>
  <c r="J228" i="1"/>
  <c r="K216" i="1"/>
  <c r="J216" i="1"/>
  <c r="K204" i="1"/>
  <c r="J204" i="1"/>
  <c r="K192" i="1"/>
  <c r="J192" i="1"/>
  <c r="K180" i="1"/>
  <c r="J180" i="1"/>
  <c r="K168" i="1"/>
  <c r="J168" i="1"/>
  <c r="J156" i="1"/>
  <c r="K156" i="1"/>
  <c r="J144" i="1"/>
  <c r="K144" i="1"/>
  <c r="J132" i="1"/>
  <c r="K132" i="1"/>
  <c r="J120" i="1"/>
  <c r="K120" i="1"/>
  <c r="J108" i="1"/>
  <c r="K108" i="1"/>
  <c r="K96" i="1"/>
  <c r="K84" i="1"/>
  <c r="J84" i="1"/>
  <c r="K72" i="1"/>
  <c r="J72" i="1"/>
  <c r="K60" i="1"/>
  <c r="K48" i="1"/>
  <c r="K36" i="1"/>
  <c r="J36" i="1"/>
  <c r="K24" i="1"/>
  <c r="J24" i="1"/>
  <c r="K12" i="1"/>
  <c r="R2" i="1" l="1"/>
  <c r="S2" i="1" s="1"/>
  <c r="B2" i="3" l="1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<sst xmlns="http://schemas.openxmlformats.org/spreadsheetml/2006/main" count="3024" uniqueCount="2030">
  <si>
    <t>Employee_ID</t>
  </si>
  <si>
    <t>Employee_Name</t>
  </si>
  <si>
    <t>Department</t>
  </si>
  <si>
    <t>Date_of_Joining</t>
  </si>
  <si>
    <t>CTC_Annual</t>
  </si>
  <si>
    <t>Fixed_Salary_Monthly</t>
  </si>
  <si>
    <t>Variable_Pay_Monthly</t>
  </si>
  <si>
    <t>Basic_Salary</t>
  </si>
  <si>
    <t>HRA</t>
  </si>
  <si>
    <t>Allowances</t>
  </si>
  <si>
    <t>PF_Deduction</t>
  </si>
  <si>
    <t>Professional_Tax</t>
  </si>
  <si>
    <t>Overtime_Paid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</si>
  <si>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</si>
  <si>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</si>
  <si>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</si>
  <si>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</si>
  <si>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</si>
  <si>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</si>
  <si>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</si>
  <si>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</si>
  <si>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</si>
  <si>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</si>
  <si>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</si>
  <si>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</si>
  <si>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</si>
  <si>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</si>
  <si>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</si>
  <si>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</si>
  <si>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</si>
  <si>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</si>
  <si>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</si>
  <si>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</si>
  <si>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</si>
  <si>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</si>
  <si>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</si>
  <si>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</si>
  <si>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</si>
  <si>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</si>
  <si>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</si>
  <si>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</si>
  <si>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</si>
  <si>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</si>
  <si>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</si>
  <si>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</si>
  <si>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</si>
  <si>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</si>
  <si>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</si>
  <si>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</si>
  <si>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</si>
  <si>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</si>
  <si>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</si>
  <si>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</si>
  <si>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</si>
  <si>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</si>
  <si>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</si>
  <si>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</si>
  <si>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</si>
  <si>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</si>
  <si>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</si>
  <si>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</si>
  <si>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</si>
  <si>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</si>
  <si>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</si>
  <si>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</si>
  <si>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</si>
  <si>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</si>
  <si>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</si>
  <si>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</si>
  <si>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</si>
  <si>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</si>
  <si>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</si>
  <si>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</si>
  <si>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</si>
  <si>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</si>
  <si>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</si>
  <si>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</si>
  <si>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</si>
  <si>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</si>
  <si>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</si>
  <si>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</si>
  <si>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</si>
  <si>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</si>
  <si>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</si>
  <si>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</si>
  <si>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</si>
  <si>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</si>
  <si>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</si>
  <si>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</si>
  <si>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</si>
  <si>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</si>
  <si>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</si>
  <si>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</si>
  <si>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</si>
  <si>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</si>
  <si>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</si>
  <si>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</si>
  <si>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</si>
  <si>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</si>
  <si>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</si>
  <si>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</si>
  <si>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</si>
  <si>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</si>
  <si>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</si>
  <si>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</si>
  <si>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</si>
  <si>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</si>
  <si>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</si>
  <si>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</si>
  <si>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</si>
  <si>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</si>
  <si>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</si>
  <si>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</si>
  <si>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</si>
  <si>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</si>
  <si>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</si>
  <si>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</si>
  <si>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</si>
  <si>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</si>
  <si>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</si>
  <si>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</si>
  <si>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</si>
  <si>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</si>
  <si>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</si>
  <si>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</si>
  <si>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</si>
  <si>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</si>
  <si>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</si>
  <si>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</si>
  <si>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</si>
  <si>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</si>
  <si>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</si>
  <si>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</si>
  <si>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</si>
  <si>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</si>
  <si>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</si>
  <si>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</si>
  <si>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</si>
  <si>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</si>
  <si>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</si>
  <si>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</si>
  <si>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</si>
  <si>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</si>
  <si>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</si>
  <si>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</si>
  <si>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</si>
  <si>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</si>
  <si>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</si>
  <si>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</si>
  <si>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</si>
  <si>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</si>
  <si>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</si>
  <si>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</si>
  <si>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</si>
  <si>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</si>
  <si>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</si>
  <si>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</si>
  <si>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</si>
  <si>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</si>
  <si>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</si>
  <si>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</si>
  <si>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</si>
  <si>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</si>
  <si>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</si>
  <si>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</si>
  <si>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</si>
  <si>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</si>
  <si>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</si>
  <si>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</si>
  <si>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</si>
  <si>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</si>
  <si>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</si>
  <si>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</si>
  <si>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</si>
  <si>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</si>
  <si>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</si>
  <si>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</si>
  <si>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</si>
  <si>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</si>
  <si>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</si>
  <si>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</si>
  <si>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</si>
  <si>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</si>
  <si>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</si>
  <si>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</si>
  <si>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</si>
  <si>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</si>
  <si>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</si>
  <si>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</si>
  <si>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</si>
  <si>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</si>
  <si>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</si>
  <si>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</si>
  <si>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</si>
  <si>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</si>
  <si>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</si>
  <si>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</si>
  <si>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</si>
  <si>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</si>
  <si>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</si>
  <si>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</si>
  <si>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</si>
  <si>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</si>
  <si>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</si>
  <si>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</si>
  <si>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</si>
  <si>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</si>
  <si>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</si>
  <si>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</si>
  <si>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</si>
  <si>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</si>
  <si>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</si>
  <si>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</si>
  <si>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</si>
  <si>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</si>
  <si>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</si>
  <si>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</si>
  <si>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</si>
  <si>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</si>
  <si>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</si>
  <si>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</si>
  <si>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</si>
  <si>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</si>
  <si>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</si>
  <si>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</si>
  <si>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</si>
  <si>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</si>
  <si>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</si>
  <si>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</si>
  <si>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</si>
  <si>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</si>
  <si>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</si>
  <si>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</si>
  <si>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</si>
  <si>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</si>
  <si>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</si>
  <si>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</si>
  <si>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</si>
  <si>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</si>
  <si>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</si>
  <si>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</si>
  <si>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</si>
  <si>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</si>
  <si>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</si>
  <si>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</si>
  <si>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</si>
  <si>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</si>
  <si>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</si>
  <si>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</si>
  <si>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</si>
  <si>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</si>
  <si>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</si>
  <si>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</si>
  <si>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</si>
  <si>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</si>
  <si>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</si>
  <si>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</si>
  <si>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</si>
  <si>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</si>
  <si>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</si>
  <si>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</si>
  <si>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</si>
  <si>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</si>
  <si>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</si>
  <si>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</si>
  <si>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</si>
  <si>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</si>
  <si>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</si>
  <si>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</si>
  <si>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</si>
  <si>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</si>
  <si>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</si>
  <si>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</si>
  <si>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</si>
  <si>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</si>
  <si>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</si>
  <si>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</si>
  <si>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</si>
  <si>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</si>
  <si>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</si>
  <si>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</si>
  <si>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</si>
  <si>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</si>
  <si>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</si>
  <si>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</si>
  <si>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</si>
  <si>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</si>
  <si>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</si>
  <si>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</si>
  <si>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</si>
  <si>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</si>
  <si>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</si>
  <si>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</si>
  <si>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</si>
  <si>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</si>
  <si>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</si>
  <si>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</si>
  <si>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</si>
  <si>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</si>
  <si>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</si>
  <si>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</si>
  <si>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</si>
  <si>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</si>
  <si>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</si>
  <si>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</si>
  <si>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</si>
  <si>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</si>
  <si>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</si>
  <si>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</si>
  <si>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</si>
  <si>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</si>
  <si>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</si>
  <si>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</si>
  <si>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</si>
  <si>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</si>
  <si>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</si>
  <si>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</si>
  <si>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</si>
  <si>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</si>
  <si>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</si>
  <si>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</si>
  <si>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</si>
  <si>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</si>
  <si>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</si>
  <si>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</si>
  <si>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</si>
  <si>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</si>
  <si>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</si>
  <si>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</si>
  <si>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</si>
  <si>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</si>
  <si>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</si>
  <si>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</si>
  <si>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</si>
  <si>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</si>
  <si>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</si>
  <si>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</si>
  <si>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</si>
  <si>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</si>
  <si>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</si>
  <si>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</si>
  <si>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</si>
  <si>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</si>
  <si>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</si>
  <si>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</si>
  <si>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</si>
  <si>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</si>
  <si>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</si>
  <si>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</si>
  <si>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</si>
  <si>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</si>
  <si>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</si>
  <si>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</si>
  <si>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</si>
  <si>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</si>
  <si>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</si>
  <si>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</si>
  <si>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</si>
  <si>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</si>
  <si>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</si>
  <si>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</si>
  <si>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</si>
  <si>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</si>
  <si>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</si>
  <si>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</si>
  <si>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</si>
  <si>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</si>
  <si>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</si>
  <si>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</si>
  <si>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</si>
  <si>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</si>
  <si>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</si>
  <si>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</si>
  <si>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</si>
  <si>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</si>
  <si>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</si>
  <si>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</si>
  <si>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</si>
  <si>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</si>
  <si>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</si>
  <si>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</si>
  <si>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</si>
  <si>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</si>
  <si>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</si>
  <si>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</si>
  <si>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</si>
  <si>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</si>
  <si>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</si>
  <si>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</si>
  <si>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</si>
  <si>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</si>
  <si>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</si>
  <si>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</si>
  <si>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</si>
  <si>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</si>
  <si>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</si>
  <si>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</si>
  <si>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</si>
  <si>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</si>
  <si>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</si>
  <si>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</si>
  <si>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</si>
  <si>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</si>
  <si>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</si>
  <si>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</si>
  <si>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</si>
  <si>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</si>
  <si>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</si>
  <si>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</si>
  <si>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</si>
  <si>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</si>
  <si>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</si>
  <si>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</si>
  <si>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</si>
  <si>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</si>
  <si>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</si>
  <si>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</si>
  <si>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</si>
  <si>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</si>
  <si>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</si>
  <si>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</si>
  <si>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</si>
  <si>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</si>
  <si>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</si>
  <si>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</si>
  <si>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</si>
  <si>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</si>
  <si>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</si>
  <si>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</si>
  <si>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</si>
  <si>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</si>
  <si>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</si>
  <si>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</si>
  <si>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</si>
  <si>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</si>
  <si>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</si>
  <si>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</si>
  <si>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</si>
  <si>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</si>
  <si>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</si>
  <si>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</si>
  <si>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</si>
  <si>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</si>
  <si>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</si>
  <si>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</si>
  <si>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</si>
  <si>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</si>
  <si>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</si>
  <si>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</si>
  <si>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</si>
  <si>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</si>
  <si>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</si>
  <si>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</si>
  <si>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</si>
  <si>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</si>
  <si>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</si>
  <si>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</si>
  <si>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</si>
  <si>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</si>
  <si>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</si>
  <si>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</si>
  <si>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</si>
  <si>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</si>
  <si>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</si>
  <si>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</si>
  <si>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</si>
  <si>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</si>
  <si>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</si>
  <si>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</si>
  <si>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</si>
  <si>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</si>
  <si>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</si>
  <si>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</si>
  <si>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</si>
  <si>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</si>
  <si>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</si>
  <si>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</si>
  <si>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</si>
  <si>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</si>
  <si>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</si>
  <si>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</si>
  <si>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</si>
  <si>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</si>
  <si>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</si>
  <si>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</si>
  <si>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</si>
  <si>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</si>
  <si>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</si>
  <si>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</si>
  <si>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</si>
  <si>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</si>
  <si>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</si>
  <si>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</si>
  <si>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</si>
  <si>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</si>
  <si>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</si>
  <si>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</si>
  <si>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</si>
  <si>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</si>
  <si>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</si>
  <si>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</si>
  <si>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</si>
  <si>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</si>
  <si>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</si>
  <si>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</si>
  <si>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</si>
  <si>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</si>
  <si>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</si>
  <si>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</si>
  <si>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</si>
  <si>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</si>
  <si>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</si>
  <si>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</si>
  <si>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EMP501</t>
  </si>
  <si>
    <t>EMP502</t>
  </si>
  <si>
    <t>EMP503</t>
  </si>
  <si>
    <t>EMP504</t>
  </si>
  <si>
    <t>EMP505</t>
  </si>
  <si>
    <t>EMP506</t>
  </si>
  <si>
    <t>EMP507</t>
  </si>
  <si>
    <t>EMP508</t>
  </si>
  <si>
    <t>EMP509</t>
  </si>
  <si>
    <t>EMP510</t>
  </si>
  <si>
    <t>EMP511</t>
  </si>
  <si>
    <t>EMP512</t>
  </si>
  <si>
    <t>EMP513</t>
  </si>
  <si>
    <t>EMP514</t>
  </si>
  <si>
    <t>EMP515</t>
  </si>
  <si>
    <t>EMP516</t>
  </si>
  <si>
    <t>EMP517</t>
  </si>
  <si>
    <t>EMP518</t>
  </si>
  <si>
    <t>EMP519</t>
  </si>
  <si>
    <t>EMP520</t>
  </si>
  <si>
    <t>EMP521</t>
  </si>
  <si>
    <t>EMP522</t>
  </si>
  <si>
    <t>EMP523</t>
  </si>
  <si>
    <t>EMP524</t>
  </si>
  <si>
    <t>EMP525</t>
  </si>
  <si>
    <t>EMP526</t>
  </si>
  <si>
    <t>EMP527</t>
  </si>
  <si>
    <t>EMP528</t>
  </si>
  <si>
    <t>EMP529</t>
  </si>
  <si>
    <t>EMP530</t>
  </si>
  <si>
    <t>EMP531</t>
  </si>
  <si>
    <t>EMP532</t>
  </si>
  <si>
    <t>EMP533</t>
  </si>
  <si>
    <t>EMP534</t>
  </si>
  <si>
    <t>EMP535</t>
  </si>
  <si>
    <t>EMP536</t>
  </si>
  <si>
    <t>EMP537</t>
  </si>
  <si>
    <t>EMP538</t>
  </si>
  <si>
    <t>EMP539</t>
  </si>
  <si>
    <t>EMP540</t>
  </si>
  <si>
    <t>EMP541</t>
  </si>
  <si>
    <t>EMP542</t>
  </si>
  <si>
    <t>EMP543</t>
  </si>
  <si>
    <t>EMP544</t>
  </si>
  <si>
    <t>EMP545</t>
  </si>
  <si>
    <t>EMP546</t>
  </si>
  <si>
    <t>EMP547</t>
  </si>
  <si>
    <t>EMP548</t>
  </si>
  <si>
    <t>EMP549</t>
  </si>
  <si>
    <t>EMP550</t>
  </si>
  <si>
    <t>EMP551</t>
  </si>
  <si>
    <t>EMP552</t>
  </si>
  <si>
    <t>EMP553</t>
  </si>
  <si>
    <t>EMP554</t>
  </si>
  <si>
    <t>EMP555</t>
  </si>
  <si>
    <t>EMP556</t>
  </si>
  <si>
    <t>EMP557</t>
  </si>
  <si>
    <t>EMP558</t>
  </si>
  <si>
    <t>EMP559</t>
  </si>
  <si>
    <t>EMP560</t>
  </si>
  <si>
    <t>EMP561</t>
  </si>
  <si>
    <t>EMP562</t>
  </si>
  <si>
    <t>EMP563</t>
  </si>
  <si>
    <t>EMP564</t>
  </si>
  <si>
    <t>EMP565</t>
  </si>
  <si>
    <t>EMP566</t>
  </si>
  <si>
    <t>EMP567</t>
  </si>
  <si>
    <t>EMP568</t>
  </si>
  <si>
    <t>EMP569</t>
  </si>
  <si>
    <t>EMP570</t>
  </si>
  <si>
    <t>EMP571</t>
  </si>
  <si>
    <t>EMP572</t>
  </si>
  <si>
    <t>EMP573</t>
  </si>
  <si>
    <t>EMP574</t>
  </si>
  <si>
    <t>EMP575</t>
  </si>
  <si>
    <t>EMP576</t>
  </si>
  <si>
    <t>EMP577</t>
  </si>
  <si>
    <t>EMP578</t>
  </si>
  <si>
    <t>EMP579</t>
  </si>
  <si>
    <t>EMP580</t>
  </si>
  <si>
    <t>EMP581</t>
  </si>
  <si>
    <t>EMP582</t>
  </si>
  <si>
    <t>EMP583</t>
  </si>
  <si>
    <t>EMP584</t>
  </si>
  <si>
    <t>EMP585</t>
  </si>
  <si>
    <t>EMP586</t>
  </si>
  <si>
    <t>EMP587</t>
  </si>
  <si>
    <t>EMP588</t>
  </si>
  <si>
    <t>EMP589</t>
  </si>
  <si>
    <t>EMP590</t>
  </si>
  <si>
    <t>EMP591</t>
  </si>
  <si>
    <t>EMP592</t>
  </si>
  <si>
    <t>EMP593</t>
  </si>
  <si>
    <t>EMP594</t>
  </si>
  <si>
    <t>EMP595</t>
  </si>
  <si>
    <t>EMP596</t>
  </si>
  <si>
    <t>EMP597</t>
  </si>
  <si>
    <t>EMP598</t>
  </si>
  <si>
    <t>EMP599</t>
  </si>
  <si>
    <t>EMP600</t>
  </si>
  <si>
    <t>EMP601</t>
  </si>
  <si>
    <t>EMP602</t>
  </si>
  <si>
    <t>EMP603</t>
  </si>
  <si>
    <t>EMP604</t>
  </si>
  <si>
    <t>EMP605</t>
  </si>
  <si>
    <t>EMP606</t>
  </si>
  <si>
    <t>EMP607</t>
  </si>
  <si>
    <t>EMP608</t>
  </si>
  <si>
    <t>EMP609</t>
  </si>
  <si>
    <t>EMP610</t>
  </si>
  <si>
    <t>EMP611</t>
  </si>
  <si>
    <t>EMP612</t>
  </si>
  <si>
    <t>EMP613</t>
  </si>
  <si>
    <t>EMP614</t>
  </si>
  <si>
    <t>EMP615</t>
  </si>
  <si>
    <t>EMP616</t>
  </si>
  <si>
    <t>EMP617</t>
  </si>
  <si>
    <t>EMP618</t>
  </si>
  <si>
    <t>EMP619</t>
  </si>
  <si>
    <t>EMP620</t>
  </si>
  <si>
    <t>EMP621</t>
  </si>
  <si>
    <t>EMP622</t>
  </si>
  <si>
    <t>EMP623</t>
  </si>
  <si>
    <t>EMP624</t>
  </si>
  <si>
    <t>EMP625</t>
  </si>
  <si>
    <t>EMP626</t>
  </si>
  <si>
    <t>EMP627</t>
  </si>
  <si>
    <t>EMP628</t>
  </si>
  <si>
    <t>EMP629</t>
  </si>
  <si>
    <t>EMP630</t>
  </si>
  <si>
    <t>EMP631</t>
  </si>
  <si>
    <t>EMP632</t>
  </si>
  <si>
    <t>EMP633</t>
  </si>
  <si>
    <t>EMP634</t>
  </si>
  <si>
    <t>EMP635</t>
  </si>
  <si>
    <t>EMP636</t>
  </si>
  <si>
    <t>EMP637</t>
  </si>
  <si>
    <t>EMP638</t>
  </si>
  <si>
    <t>EMP639</t>
  </si>
  <si>
    <t>EMP640</t>
  </si>
  <si>
    <t>EMP641</t>
  </si>
  <si>
    <t>EMP642</t>
  </si>
  <si>
    <t>EMP643</t>
  </si>
  <si>
    <t>EMP644</t>
  </si>
  <si>
    <t>EMP645</t>
  </si>
  <si>
    <t>EMP646</t>
  </si>
  <si>
    <t>EMP647</t>
  </si>
  <si>
    <t>EMP648</t>
  </si>
  <si>
    <t>EMP649</t>
  </si>
  <si>
    <t>EMP650</t>
  </si>
  <si>
    <t>EMP651</t>
  </si>
  <si>
    <t>EMP652</t>
  </si>
  <si>
    <t>EMP653</t>
  </si>
  <si>
    <t>EMP654</t>
  </si>
  <si>
    <t>EMP655</t>
  </si>
  <si>
    <t>EMP656</t>
  </si>
  <si>
    <t>EMP657</t>
  </si>
  <si>
    <t>EMP658</t>
  </si>
  <si>
    <t>EMP659</t>
  </si>
  <si>
    <t>EMP660</t>
  </si>
  <si>
    <t>EMP661</t>
  </si>
  <si>
    <t>EMP662</t>
  </si>
  <si>
    <t>EMP663</t>
  </si>
  <si>
    <t>EMP664</t>
  </si>
  <si>
    <t>EMP665</t>
  </si>
  <si>
    <t>EMP666</t>
  </si>
  <si>
    <t>EMP667</t>
  </si>
  <si>
    <t>EMP668</t>
  </si>
  <si>
    <t>EMP669</t>
  </si>
  <si>
    <t>EMP670</t>
  </si>
  <si>
    <t>EMP671</t>
  </si>
  <si>
    <t>EMP672</t>
  </si>
  <si>
    <t>EMP673</t>
  </si>
  <si>
    <t>EMP674</t>
  </si>
  <si>
    <t>EMP675</t>
  </si>
  <si>
    <t>EMP676</t>
  </si>
  <si>
    <t>EMP677</t>
  </si>
  <si>
    <t>EMP678</t>
  </si>
  <si>
    <t>EMP679</t>
  </si>
  <si>
    <t>EMP680</t>
  </si>
  <si>
    <t>EMP681</t>
  </si>
  <si>
    <t>EMP682</t>
  </si>
  <si>
    <t>EMP683</t>
  </si>
  <si>
    <t>EMP684</t>
  </si>
  <si>
    <t>EMP685</t>
  </si>
  <si>
    <t>EMP686</t>
  </si>
  <si>
    <t>EMP687</t>
  </si>
  <si>
    <t>EMP688</t>
  </si>
  <si>
    <t>EMP689</t>
  </si>
  <si>
    <t>EMP690</t>
  </si>
  <si>
    <t>EMP691</t>
  </si>
  <si>
    <t>EMP692</t>
  </si>
  <si>
    <t>EMP693</t>
  </si>
  <si>
    <t>EMP694</t>
  </si>
  <si>
    <t>EMP695</t>
  </si>
  <si>
    <t>EMP696</t>
  </si>
  <si>
    <t>EMP697</t>
  </si>
  <si>
    <t>EMP698</t>
  </si>
  <si>
    <t>EMP699</t>
  </si>
  <si>
    <t>EMP700</t>
  </si>
  <si>
    <t>EMP701</t>
  </si>
  <si>
    <t>EMP702</t>
  </si>
  <si>
    <t>EMP703</t>
  </si>
  <si>
    <t>EMP704</t>
  </si>
  <si>
    <t>EMP705</t>
  </si>
  <si>
    <t>EMP706</t>
  </si>
  <si>
    <t>EMP707</t>
  </si>
  <si>
    <t>EMP708</t>
  </si>
  <si>
    <t>EMP709</t>
  </si>
  <si>
    <t>EMP710</t>
  </si>
  <si>
    <t>EMP711</t>
  </si>
  <si>
    <t>EMP712</t>
  </si>
  <si>
    <t>EMP713</t>
  </si>
  <si>
    <t>EMP714</t>
  </si>
  <si>
    <t>EMP715</t>
  </si>
  <si>
    <t>EMP716</t>
  </si>
  <si>
    <t>EMP717</t>
  </si>
  <si>
    <t>EMP718</t>
  </si>
  <si>
    <t>EMP719</t>
  </si>
  <si>
    <t>EMP720</t>
  </si>
  <si>
    <t>EMP721</t>
  </si>
  <si>
    <t>EMP722</t>
  </si>
  <si>
    <t>EMP723</t>
  </si>
  <si>
    <t>EMP724</t>
  </si>
  <si>
    <t>EMP725</t>
  </si>
  <si>
    <t>EMP726</t>
  </si>
  <si>
    <t>EMP727</t>
  </si>
  <si>
    <t>EMP728</t>
  </si>
  <si>
    <t>EMP729</t>
  </si>
  <si>
    <t>EMP730</t>
  </si>
  <si>
    <t>EMP731</t>
  </si>
  <si>
    <t>EMP732</t>
  </si>
  <si>
    <t>EMP733</t>
  </si>
  <si>
    <t>EMP734</t>
  </si>
  <si>
    <t>EMP735</t>
  </si>
  <si>
    <t>EMP736</t>
  </si>
  <si>
    <t>EMP737</t>
  </si>
  <si>
    <t>EMP738</t>
  </si>
  <si>
    <t>EMP739</t>
  </si>
  <si>
    <t>EMP740</t>
  </si>
  <si>
    <t>EMP741</t>
  </si>
  <si>
    <t>EMP742</t>
  </si>
  <si>
    <t>EMP743</t>
  </si>
  <si>
    <t>EMP744</t>
  </si>
  <si>
    <t>EMP745</t>
  </si>
  <si>
    <t>EMP746</t>
  </si>
  <si>
    <t>EMP747</t>
  </si>
  <si>
    <t>EMP748</t>
  </si>
  <si>
    <t>EMP749</t>
  </si>
  <si>
    <t>EMP750</t>
  </si>
  <si>
    <t>EMP751</t>
  </si>
  <si>
    <t>EMP752</t>
  </si>
  <si>
    <t>EMP753</t>
  </si>
  <si>
    <t>EMP754</t>
  </si>
  <si>
    <t>EMP755</t>
  </si>
  <si>
    <t>EMP756</t>
  </si>
  <si>
    <t>EMP757</t>
  </si>
  <si>
    <t>EMP758</t>
  </si>
  <si>
    <t>EMP759</t>
  </si>
  <si>
    <t>EMP760</t>
  </si>
  <si>
    <t>EMP761</t>
  </si>
  <si>
    <t>EMP762</t>
  </si>
  <si>
    <t>EMP763</t>
  </si>
  <si>
    <t>EMP764</t>
  </si>
  <si>
    <t>EMP765</t>
  </si>
  <si>
    <t>EMP766</t>
  </si>
  <si>
    <t>EMP767</t>
  </si>
  <si>
    <t>EMP768</t>
  </si>
  <si>
    <t>EMP769</t>
  </si>
  <si>
    <t>EMP770</t>
  </si>
  <si>
    <t>EMP771</t>
  </si>
  <si>
    <t>EMP772</t>
  </si>
  <si>
    <t>EMP773</t>
  </si>
  <si>
    <t>EMP774</t>
  </si>
  <si>
    <t>EMP775</t>
  </si>
  <si>
    <t>EMP776</t>
  </si>
  <si>
    <t>EMP777</t>
  </si>
  <si>
    <t>EMP778</t>
  </si>
  <si>
    <t>EMP779</t>
  </si>
  <si>
    <t>EMP780</t>
  </si>
  <si>
    <t>EMP781</t>
  </si>
  <si>
    <t>EMP782</t>
  </si>
  <si>
    <t>EMP783</t>
  </si>
  <si>
    <t>EMP784</t>
  </si>
  <si>
    <t>EMP785</t>
  </si>
  <si>
    <t>EMP786</t>
  </si>
  <si>
    <t>EMP787</t>
  </si>
  <si>
    <t>EMP788</t>
  </si>
  <si>
    <t>EMP789</t>
  </si>
  <si>
    <t>EMP790</t>
  </si>
  <si>
    <t>EMP791</t>
  </si>
  <si>
    <t>EMP792</t>
  </si>
  <si>
    <t>EMP793</t>
  </si>
  <si>
    <t>EMP794</t>
  </si>
  <si>
    <t>EMP795</t>
  </si>
  <si>
    <t>EMP796</t>
  </si>
  <si>
    <t>EMP797</t>
  </si>
  <si>
    <t>EMP798</t>
  </si>
  <si>
    <t>EMP799</t>
  </si>
  <si>
    <t>EMP800</t>
  </si>
  <si>
    <t>EMP801</t>
  </si>
  <si>
    <t>EMP802</t>
  </si>
  <si>
    <t>EMP803</t>
  </si>
  <si>
    <t>EMP804</t>
  </si>
  <si>
    <t>EMP805</t>
  </si>
  <si>
    <t>EMP806</t>
  </si>
  <si>
    <t>EMP807</t>
  </si>
  <si>
    <t>EMP808</t>
  </si>
  <si>
    <t>EMP809</t>
  </si>
  <si>
    <t>EMP810</t>
  </si>
  <si>
    <t>EMP811</t>
  </si>
  <si>
    <t>EMP812</t>
  </si>
  <si>
    <t>EMP813</t>
  </si>
  <si>
    <t>EMP814</t>
  </si>
  <si>
    <t>EMP815</t>
  </si>
  <si>
    <t>EMP816</t>
  </si>
  <si>
    <t>EMP817</t>
  </si>
  <si>
    <t>EMP818</t>
  </si>
  <si>
    <t>EMP819</t>
  </si>
  <si>
    <t>EMP820</t>
  </si>
  <si>
    <t>EMP821</t>
  </si>
  <si>
    <t>EMP822</t>
  </si>
  <si>
    <t>EMP823</t>
  </si>
  <si>
    <t>EMP824</t>
  </si>
  <si>
    <t>EMP825</t>
  </si>
  <si>
    <t>EMP826</t>
  </si>
  <si>
    <t>EMP827</t>
  </si>
  <si>
    <t>EMP828</t>
  </si>
  <si>
    <t>EMP829</t>
  </si>
  <si>
    <t>EMP830</t>
  </si>
  <si>
    <t>EMP831</t>
  </si>
  <si>
    <t>EMP832</t>
  </si>
  <si>
    <t>EMP833</t>
  </si>
  <si>
    <t>EMP834</t>
  </si>
  <si>
    <t>EMP835</t>
  </si>
  <si>
    <t>EMP836</t>
  </si>
  <si>
    <t>EMP837</t>
  </si>
  <si>
    <t>EMP838</t>
  </si>
  <si>
    <t>EMP839</t>
  </si>
  <si>
    <t>EMP840</t>
  </si>
  <si>
    <t>EMP841</t>
  </si>
  <si>
    <t>EMP842</t>
  </si>
  <si>
    <t>EMP843</t>
  </si>
  <si>
    <t>EMP844</t>
  </si>
  <si>
    <t>EMP845</t>
  </si>
  <si>
    <t>EMP846</t>
  </si>
  <si>
    <t>EMP847</t>
  </si>
  <si>
    <t>EMP848</t>
  </si>
  <si>
    <t>EMP849</t>
  </si>
  <si>
    <t>EMP850</t>
  </si>
  <si>
    <t>EMP851</t>
  </si>
  <si>
    <t>EMP852</t>
  </si>
  <si>
    <t>EMP853</t>
  </si>
  <si>
    <t>EMP854</t>
  </si>
  <si>
    <t>EMP855</t>
  </si>
  <si>
    <t>EMP856</t>
  </si>
  <si>
    <t>EMP857</t>
  </si>
  <si>
    <t>EMP858</t>
  </si>
  <si>
    <t>EMP859</t>
  </si>
  <si>
    <t>EMP860</t>
  </si>
  <si>
    <t>EMP861</t>
  </si>
  <si>
    <t>EMP862</t>
  </si>
  <si>
    <t>EMP863</t>
  </si>
  <si>
    <t>EMP864</t>
  </si>
  <si>
    <t>EMP865</t>
  </si>
  <si>
    <t>EMP866</t>
  </si>
  <si>
    <t>EMP867</t>
  </si>
  <si>
    <t>EMP868</t>
  </si>
  <si>
    <t>EMP869</t>
  </si>
  <si>
    <t>EMP870</t>
  </si>
  <si>
    <t>EMP871</t>
  </si>
  <si>
    <t>EMP872</t>
  </si>
  <si>
    <t>EMP873</t>
  </si>
  <si>
    <t>EMP874</t>
  </si>
  <si>
    <t>EMP875</t>
  </si>
  <si>
    <t>EMP876</t>
  </si>
  <si>
    <t>EMP877</t>
  </si>
  <si>
    <t>EMP878</t>
  </si>
  <si>
    <t>EMP879</t>
  </si>
  <si>
    <t>EMP880</t>
  </si>
  <si>
    <t>EMP881</t>
  </si>
  <si>
    <t>EMP882</t>
  </si>
  <si>
    <t>EMP883</t>
  </si>
  <si>
    <t>EMP884</t>
  </si>
  <si>
    <t>EMP885</t>
  </si>
  <si>
    <t>EMP886</t>
  </si>
  <si>
    <t>EMP887</t>
  </si>
  <si>
    <t>EMP888</t>
  </si>
  <si>
    <t>EMP889</t>
  </si>
  <si>
    <t>EMP890</t>
  </si>
  <si>
    <t>EMP891</t>
  </si>
  <si>
    <t>EMP892</t>
  </si>
  <si>
    <t>EMP893</t>
  </si>
  <si>
    <t>EMP894</t>
  </si>
  <si>
    <t>EMP895</t>
  </si>
  <si>
    <t>EMP896</t>
  </si>
  <si>
    <t>EMP897</t>
  </si>
  <si>
    <t>EMP898</t>
  </si>
  <si>
    <t>EMP899</t>
  </si>
  <si>
    <t>EMP900</t>
  </si>
  <si>
    <t>EMP901</t>
  </si>
  <si>
    <t>EMP902</t>
  </si>
  <si>
    <t>EMP903</t>
  </si>
  <si>
    <t>EMP904</t>
  </si>
  <si>
    <t>EMP905</t>
  </si>
  <si>
    <t>EMP906</t>
  </si>
  <si>
    <t>EMP907</t>
  </si>
  <si>
    <t>EMP908</t>
  </si>
  <si>
    <t>EMP909</t>
  </si>
  <si>
    <t>EMP910</t>
  </si>
  <si>
    <t>EMP911</t>
  </si>
  <si>
    <t>EMP912</t>
  </si>
  <si>
    <t>EMP913</t>
  </si>
  <si>
    <t>EMP914</t>
  </si>
  <si>
    <t>EMP915</t>
  </si>
  <si>
    <t>EMP916</t>
  </si>
  <si>
    <t>EMP917</t>
  </si>
  <si>
    <t>EMP918</t>
  </si>
  <si>
    <t>EMP919</t>
  </si>
  <si>
    <t>EMP920</t>
  </si>
  <si>
    <t>EMP921</t>
  </si>
  <si>
    <t>EMP922</t>
  </si>
  <si>
    <t>EMP923</t>
  </si>
  <si>
    <t>EMP924</t>
  </si>
  <si>
    <t>EMP925</t>
  </si>
  <si>
    <t>EMP926</t>
  </si>
  <si>
    <t>EMP927</t>
  </si>
  <si>
    <t>EMP928</t>
  </si>
  <si>
    <t>EMP929</t>
  </si>
  <si>
    <t>EMP930</t>
  </si>
  <si>
    <t>EMP931</t>
  </si>
  <si>
    <t>EMP932</t>
  </si>
  <si>
    <t>EMP933</t>
  </si>
  <si>
    <t>EMP934</t>
  </si>
  <si>
    <t>EMP935</t>
  </si>
  <si>
    <t>EMP936</t>
  </si>
  <si>
    <t>EMP937</t>
  </si>
  <si>
    <t>EMP938</t>
  </si>
  <si>
    <t>EMP939</t>
  </si>
  <si>
    <t>EMP940</t>
  </si>
  <si>
    <t>EMP941</t>
  </si>
  <si>
    <t>EMP942</t>
  </si>
  <si>
    <t>EMP943</t>
  </si>
  <si>
    <t>EMP944</t>
  </si>
  <si>
    <t>EMP945</t>
  </si>
  <si>
    <t>EMP946</t>
  </si>
  <si>
    <t>EMP947</t>
  </si>
  <si>
    <t>EMP948</t>
  </si>
  <si>
    <t>EMP949</t>
  </si>
  <si>
    <t>EMP950</t>
  </si>
  <si>
    <t>EMP951</t>
  </si>
  <si>
    <t>EMP952</t>
  </si>
  <si>
    <t>EMP953</t>
  </si>
  <si>
    <t>EMP954</t>
  </si>
  <si>
    <t>EMP955</t>
  </si>
  <si>
    <t>EMP956</t>
  </si>
  <si>
    <t>EMP957</t>
  </si>
  <si>
    <t>EMP958</t>
  </si>
  <si>
    <t>EMP959</t>
  </si>
  <si>
    <t>EMP960</t>
  </si>
  <si>
    <t>EMP961</t>
  </si>
  <si>
    <t>EMP962</t>
  </si>
  <si>
    <t>EMP963</t>
  </si>
  <si>
    <t>EMP964</t>
  </si>
  <si>
    <t>EMP965</t>
  </si>
  <si>
    <t>EMP966</t>
  </si>
  <si>
    <t>EMP967</t>
  </si>
  <si>
    <t>EMP968</t>
  </si>
  <si>
    <t>EMP969</t>
  </si>
  <si>
    <t>EMP970</t>
  </si>
  <si>
    <t>EMP971</t>
  </si>
  <si>
    <t>EMP972</t>
  </si>
  <si>
    <t>EMP973</t>
  </si>
  <si>
    <t>EMP974</t>
  </si>
  <si>
    <t>EMP975</t>
  </si>
  <si>
    <t>EMP976</t>
  </si>
  <si>
    <t>EMP977</t>
  </si>
  <si>
    <t>EMP978</t>
  </si>
  <si>
    <t>EMP979</t>
  </si>
  <si>
    <t>EMP980</t>
  </si>
  <si>
    <t>EMP981</t>
  </si>
  <si>
    <t>EMP982</t>
  </si>
  <si>
    <t>EMP983</t>
  </si>
  <si>
    <t>EMP984</t>
  </si>
  <si>
    <t>EMP985</t>
  </si>
  <si>
    <t>EMP986</t>
  </si>
  <si>
    <t>EMP987</t>
  </si>
  <si>
    <t>EMP988</t>
  </si>
  <si>
    <t>EMP989</t>
  </si>
  <si>
    <t>EMP990</t>
  </si>
  <si>
    <t>EMP991</t>
  </si>
  <si>
    <t>EMP992</t>
  </si>
  <si>
    <t>EMP993</t>
  </si>
  <si>
    <t>EMP994</t>
  </si>
  <si>
    <t>EMP995</t>
  </si>
  <si>
    <t>EMP996</t>
  </si>
  <si>
    <t>EMP997</t>
  </si>
  <si>
    <t>EMP998</t>
  </si>
  <si>
    <t>EMP999</t>
  </si>
  <si>
    <t>Rahul Sharma</t>
  </si>
  <si>
    <t>Priya Verma</t>
  </si>
  <si>
    <t>Amit Patel</t>
  </si>
  <si>
    <t>Sara Mcguire</t>
  </si>
  <si>
    <t>Alisha Hebert</t>
  </si>
  <si>
    <t>Gwendolyn Sheppard</t>
  </si>
  <si>
    <t>Kristine Mccann</t>
  </si>
  <si>
    <t>Bobby Pittman</t>
  </si>
  <si>
    <t>Calvin Ramsey</t>
  </si>
  <si>
    <t>Collin Allison</t>
  </si>
  <si>
    <t>Nicholas Branch</t>
  </si>
  <si>
    <t>Emma Robinson</t>
  </si>
  <si>
    <t>Pedro Cordova</t>
  </si>
  <si>
    <t>Jean Aguilar</t>
  </si>
  <si>
    <t>Dwayne Hutchinson</t>
  </si>
  <si>
    <t>Bradley Velazquez</t>
  </si>
  <si>
    <t>Samantha Moon</t>
  </si>
  <si>
    <t>Clayton Erickson</t>
  </si>
  <si>
    <t>Bradley Bright</t>
  </si>
  <si>
    <t>Ernest Maynard</t>
  </si>
  <si>
    <t>Joe Larsen</t>
  </si>
  <si>
    <t>Alfred Barrera</t>
  </si>
  <si>
    <t>Jon Wagner</t>
  </si>
  <si>
    <t>Glen Calderon</t>
  </si>
  <si>
    <t>Marco Sharp</t>
  </si>
  <si>
    <t>Jermaine Liu</t>
  </si>
  <si>
    <t>Cindy Haynes</t>
  </si>
  <si>
    <t>Meghan Blanchard</t>
  </si>
  <si>
    <t>Julie Delacruz</t>
  </si>
  <si>
    <t>Jackie Munoz</t>
  </si>
  <si>
    <t>Maureen Vasquez</t>
  </si>
  <si>
    <t>Theresa Riddle</t>
  </si>
  <si>
    <t>Jenny Wiley</t>
  </si>
  <si>
    <t>Kirsten Bailey</t>
  </si>
  <si>
    <t>Melody Wiggins</t>
  </si>
  <si>
    <t>Ruth Bolton</t>
  </si>
  <si>
    <t>Jacqueline Frederick</t>
  </si>
  <si>
    <t>Theresa Gilmore</t>
  </si>
  <si>
    <t>Stanley Underwood</t>
  </si>
  <si>
    <t>Brandy Heath</t>
  </si>
  <si>
    <t>Terrence Tucker</t>
  </si>
  <si>
    <t>Mary Ferguson</t>
  </si>
  <si>
    <t>Rachel Rice</t>
  </si>
  <si>
    <t>Allison Clay</t>
  </si>
  <si>
    <t>Tom Rivas</t>
  </si>
  <si>
    <t>Monique Ferguson</t>
  </si>
  <si>
    <t>Denise Cardenas</t>
  </si>
  <si>
    <t>Ross Wiley</t>
  </si>
  <si>
    <t>Curtis Oconnell</t>
  </si>
  <si>
    <t>Terry Hanna</t>
  </si>
  <si>
    <t>Ernest Wilkerson</t>
  </si>
  <si>
    <t>Tabitha Odonnell</t>
  </si>
  <si>
    <t>Joshua Hooper</t>
  </si>
  <si>
    <t>Vanessa Huynh</t>
  </si>
  <si>
    <t>Lucas Pittman</t>
  </si>
  <si>
    <t>Jaclyn Cohen</t>
  </si>
  <si>
    <t>Jill Shannon</t>
  </si>
  <si>
    <t>Bradley Hull</t>
  </si>
  <si>
    <t>Roberto Walton</t>
  </si>
  <si>
    <t>Chase Beard</t>
  </si>
  <si>
    <t>Ellen Scott</t>
  </si>
  <si>
    <t>Bridget Spence</t>
  </si>
  <si>
    <t>Katie Wells</t>
  </si>
  <si>
    <t>Breanna Cardenas</t>
  </si>
  <si>
    <t>Beverly Sanford</t>
  </si>
  <si>
    <t>Tonya Riggs</t>
  </si>
  <si>
    <t>Chloe Beck</t>
  </si>
  <si>
    <t>Abigail Parks</t>
  </si>
  <si>
    <t>Lorraine Castaneda</t>
  </si>
  <si>
    <t>Ashlee Boyd</t>
  </si>
  <si>
    <t>Carl Lucero</t>
  </si>
  <si>
    <t>Cassidy Chambers</t>
  </si>
  <si>
    <t>Andres Barajas</t>
  </si>
  <si>
    <t>Stephanie Phillips</t>
  </si>
  <si>
    <t>Gabriel Villanueva</t>
  </si>
  <si>
    <t>Eugene Cooper</t>
  </si>
  <si>
    <t>Johnathan Henderson</t>
  </si>
  <si>
    <t>Jocelyn Ross</t>
  </si>
  <si>
    <t>Chelsea Hester</t>
  </si>
  <si>
    <t>Darrell Kent</t>
  </si>
  <si>
    <t>Beverly Hurst</t>
  </si>
  <si>
    <t>Paul Hart</t>
  </si>
  <si>
    <t>Amber Kaiser</t>
  </si>
  <si>
    <t>Kerry Weiss</t>
  </si>
  <si>
    <t>Donna Donaldson</t>
  </si>
  <si>
    <t>Wesley Gomez</t>
  </si>
  <si>
    <t>Lorraine Sims</t>
  </si>
  <si>
    <t>Linda Robertson</t>
  </si>
  <si>
    <t>Lindsay Lam</t>
  </si>
  <si>
    <t>Meredith Hayden</t>
  </si>
  <si>
    <t>Betty Avila</t>
  </si>
  <si>
    <t>Erik Delgado</t>
  </si>
  <si>
    <t>Dawn Gibson</t>
  </si>
  <si>
    <t>Stuart Peterson</t>
  </si>
  <si>
    <t>Gavin Saunders</t>
  </si>
  <si>
    <t>Natalie Mcmahon</t>
  </si>
  <si>
    <t>Valerie Gallagher</t>
  </si>
  <si>
    <t>Willie Peck</t>
  </si>
  <si>
    <t>Ariel Crosby</t>
  </si>
  <si>
    <t>Jeremy Wells</t>
  </si>
  <si>
    <t>Joann Garza</t>
  </si>
  <si>
    <t>Jeanne Rowe</t>
  </si>
  <si>
    <t>Christie Kane</t>
  </si>
  <si>
    <t>Reginald Thornton</t>
  </si>
  <si>
    <t>Kristen Brady</t>
  </si>
  <si>
    <t>Gail Bridges</t>
  </si>
  <si>
    <t>Danny Aguilar</t>
  </si>
  <si>
    <t>Reginald Kelly</t>
  </si>
  <si>
    <t>Yvonne Greene</t>
  </si>
  <si>
    <t>Diamond Burton</t>
  </si>
  <si>
    <t>Alicia Chaney</t>
  </si>
  <si>
    <t>Devon Marquez</t>
  </si>
  <si>
    <t>Tony Parrish</t>
  </si>
  <si>
    <t>Karla Logan</t>
  </si>
  <si>
    <t>Cody Walters</t>
  </si>
  <si>
    <t>Shawna Fields</t>
  </si>
  <si>
    <t>Kathryn Clay</t>
  </si>
  <si>
    <t>Jaime Arellano</t>
  </si>
  <si>
    <t>Arthur Gross</t>
  </si>
  <si>
    <t>Tami Farley</t>
  </si>
  <si>
    <t>Christine Rosales</t>
  </si>
  <si>
    <t>Howard Camacho</t>
  </si>
  <si>
    <t>Lucas Thomas</t>
  </si>
  <si>
    <t>Carlos Mccall</t>
  </si>
  <si>
    <t>Robyn Salas</t>
  </si>
  <si>
    <t>Jody Acevedo</t>
  </si>
  <si>
    <t>Leslie Benitez</t>
  </si>
  <si>
    <t>Isaiah Huffman</t>
  </si>
  <si>
    <t>Julian Hampton</t>
  </si>
  <si>
    <t>Justin Elliott</t>
  </si>
  <si>
    <t>Glen Hamilton</t>
  </si>
  <si>
    <t>Scott Dawson</t>
  </si>
  <si>
    <t>Connie Sutton</t>
  </si>
  <si>
    <t>Kevin Vance</t>
  </si>
  <si>
    <t>Paul Combs</t>
  </si>
  <si>
    <t>Patricia Garza</t>
  </si>
  <si>
    <t>Lee Ferguson</t>
  </si>
  <si>
    <t>Karla Sloan</t>
  </si>
  <si>
    <t>Tyrone Duffy</t>
  </si>
  <si>
    <t>Christopher Page</t>
  </si>
  <si>
    <t>Randall Bullock</t>
  </si>
  <si>
    <t>Ronnie Cantrell</t>
  </si>
  <si>
    <t>Gloria Landry</t>
  </si>
  <si>
    <t>Nathan Carrillo</t>
  </si>
  <si>
    <t>Tonya Logan</t>
  </si>
  <si>
    <t>Selena Shields</t>
  </si>
  <si>
    <t>Jorge King</t>
  </si>
  <si>
    <t>Angie Lowe</t>
  </si>
  <si>
    <t>Sarah Humphrey</t>
  </si>
  <si>
    <t>Melody Esparza</t>
  </si>
  <si>
    <t>Melody Serrano</t>
  </si>
  <si>
    <t>Alexa Santana</t>
  </si>
  <si>
    <t>Herbert Poole</t>
  </si>
  <si>
    <t>Jerry Schultz</t>
  </si>
  <si>
    <t>Tom Stuart</t>
  </si>
  <si>
    <t>Guy Stephens</t>
  </si>
  <si>
    <t>Grant Barton</t>
  </si>
  <si>
    <t>Jamie Riggs</t>
  </si>
  <si>
    <t>Jermaine Trujillo</t>
  </si>
  <si>
    <t>Bobby Mathis</t>
  </si>
  <si>
    <t>Terri Neal</t>
  </si>
  <si>
    <t>Reginald Nixon</t>
  </si>
  <si>
    <t>Sarah Huber</t>
  </si>
  <si>
    <t>Hunter Romero</t>
  </si>
  <si>
    <t>Alisha Blair</t>
  </si>
  <si>
    <t>Malik Mclaughlin</t>
  </si>
  <si>
    <t>Kristopher Nicholson</t>
  </si>
  <si>
    <t>Chris Lucero</t>
  </si>
  <si>
    <t>Paul Glover</t>
  </si>
  <si>
    <t>Joe Dominguez</t>
  </si>
  <si>
    <t>Susan Palmer</t>
  </si>
  <si>
    <t>Patricia Sullivan</t>
  </si>
  <si>
    <t>Raven Marks</t>
  </si>
  <si>
    <t>Jenna Cervantes</t>
  </si>
  <si>
    <t>Bobby Richard</t>
  </si>
  <si>
    <t>Dominique Whitehead</t>
  </si>
  <si>
    <t>Theresa Austin</t>
  </si>
  <si>
    <t>Brady Velasquez</t>
  </si>
  <si>
    <t>George Riddle</t>
  </si>
  <si>
    <t>Rachel Chambers</t>
  </si>
  <si>
    <t>Dylan Combs</t>
  </si>
  <si>
    <t>Sue Schultz</t>
  </si>
  <si>
    <t>Cindy Shea</t>
  </si>
  <si>
    <t>Michael Hayden</t>
  </si>
  <si>
    <t>Marcia Christian</t>
  </si>
  <si>
    <t>Chris Parker</t>
  </si>
  <si>
    <t>Karl Skinner</t>
  </si>
  <si>
    <t>Lynn Townsend</t>
  </si>
  <si>
    <t>Renee Mora</t>
  </si>
  <si>
    <t>Diana Hubbard</t>
  </si>
  <si>
    <t>Tasha Hendrix</t>
  </si>
  <si>
    <t>Audrey Kerr</t>
  </si>
  <si>
    <t>Bernard Duncan</t>
  </si>
  <si>
    <t>Karen Riddle</t>
  </si>
  <si>
    <t>Dalton Gilbert</t>
  </si>
  <si>
    <t>Shelley Bowen</t>
  </si>
  <si>
    <t>Thomas Bullock</t>
  </si>
  <si>
    <t>Beverly Deleon</t>
  </si>
  <si>
    <t>Luis Odom</t>
  </si>
  <si>
    <t>Terri Bullock</t>
  </si>
  <si>
    <t>Arthur Barrera</t>
  </si>
  <si>
    <t>Troy Carrillo</t>
  </si>
  <si>
    <t>Caitlin Graham</t>
  </si>
  <si>
    <t>Fred Reed</t>
  </si>
  <si>
    <t>Christian Riley</t>
  </si>
  <si>
    <t>Neil Miles</t>
  </si>
  <si>
    <t>Gabriel Bush</t>
  </si>
  <si>
    <t>Alfred Joyce</t>
  </si>
  <si>
    <t>Shawna Romero</t>
  </si>
  <si>
    <t>Destiny Sandoval</t>
  </si>
  <si>
    <t>Mindy Hanson</t>
  </si>
  <si>
    <t>Maxwell Floyd</t>
  </si>
  <si>
    <t>Ernest Farley</t>
  </si>
  <si>
    <t>Randy Chan</t>
  </si>
  <si>
    <t>Wayne Cochran</t>
  </si>
  <si>
    <t>Wesley Lee</t>
  </si>
  <si>
    <t>Dana Levy</t>
  </si>
  <si>
    <t>Kristy Pineda</t>
  </si>
  <si>
    <t>Bob Frey</t>
  </si>
  <si>
    <t>Jacqueline Allison</t>
  </si>
  <si>
    <t>Karl Morse</t>
  </si>
  <si>
    <t>Caitlin Fernandez</t>
  </si>
  <si>
    <t>Charlene Welch</t>
  </si>
  <si>
    <t>Jasmin Peck</t>
  </si>
  <si>
    <t>Samuel Gould</t>
  </si>
  <si>
    <t>Maxwell Reilly</t>
  </si>
  <si>
    <t>Glen Cummings</t>
  </si>
  <si>
    <t>Diane May</t>
  </si>
  <si>
    <t>Karina Fitzpatrick</t>
  </si>
  <si>
    <t>Sherry Strickland</t>
  </si>
  <si>
    <t>Beverly Castro</t>
  </si>
  <si>
    <t>Carly Terrell</t>
  </si>
  <si>
    <t>Donna Villegas</t>
  </si>
  <si>
    <t>Evan Welch</t>
  </si>
  <si>
    <t>Jillian Manning</t>
  </si>
  <si>
    <t>Craig Garrison</t>
  </si>
  <si>
    <t>Aaron Macdonald</t>
  </si>
  <si>
    <t>Tammie Schmitt</t>
  </si>
  <si>
    <t>Anna Anderson</t>
  </si>
  <si>
    <t>Andre Duncan</t>
  </si>
  <si>
    <t>Gilbert Guerra</t>
  </si>
  <si>
    <t>Cody Thomas</t>
  </si>
  <si>
    <t>Leroy Soto</t>
  </si>
  <si>
    <t>Brandi Dennis</t>
  </si>
  <si>
    <t>Molly Macdonald</t>
  </si>
  <si>
    <t>Duane Vaughn</t>
  </si>
  <si>
    <t>Connie Kane</t>
  </si>
  <si>
    <t>Martha Villanueva</t>
  </si>
  <si>
    <t>Melinda Schultz</t>
  </si>
  <si>
    <t>Tony Chase</t>
  </si>
  <si>
    <t>Nina Ferguson</t>
  </si>
  <si>
    <t>Randy Wagner</t>
  </si>
  <si>
    <t>Jill Cook</t>
  </si>
  <si>
    <t>Katelyn David</t>
  </si>
  <si>
    <t>Dean Conley</t>
  </si>
  <si>
    <t>Madeline Wilkinson</t>
  </si>
  <si>
    <t>Eddie Krause</t>
  </si>
  <si>
    <t>Darryl Kerr</t>
  </si>
  <si>
    <t>Bridget Stone</t>
  </si>
  <si>
    <t>Stefanie Schwartz</t>
  </si>
  <si>
    <t>Diana Travis</t>
  </si>
  <si>
    <t>Stacey Cain</t>
  </si>
  <si>
    <t>Caitlyn Kirk</t>
  </si>
  <si>
    <t>Dylan Harris</t>
  </si>
  <si>
    <t>Justin Salas</t>
  </si>
  <si>
    <t>Theresa Irwin</t>
  </si>
  <si>
    <t>Barbara Chambers</t>
  </si>
  <si>
    <t>Joan Munoz</t>
  </si>
  <si>
    <t>Stacy Long</t>
  </si>
  <si>
    <t>Gregg Spence</t>
  </si>
  <si>
    <t>Gene Duffy</t>
  </si>
  <si>
    <t>Nathaniel Henry</t>
  </si>
  <si>
    <t>Danny Velazquez</t>
  </si>
  <si>
    <t>Maxwell Everett</t>
  </si>
  <si>
    <t>Eugene Newman</t>
  </si>
  <si>
    <t>Victoria Moreno</t>
  </si>
  <si>
    <t>Cesar Newton</t>
  </si>
  <si>
    <t>Seth George</t>
  </si>
  <si>
    <t>Darrell Norris</t>
  </si>
  <si>
    <t>Arthur Khan</t>
  </si>
  <si>
    <t>Sandra Gould</t>
  </si>
  <si>
    <t>Michael Atkins</t>
  </si>
  <si>
    <t>Tyrone Swanson</t>
  </si>
  <si>
    <t>Jocelyn Brandt</t>
  </si>
  <si>
    <t>Kristine Macias</t>
  </si>
  <si>
    <t>Patty Fischer</t>
  </si>
  <si>
    <t>Tasha Madden</t>
  </si>
  <si>
    <t>Hayley Bender</t>
  </si>
  <si>
    <t>Molly Davis</t>
  </si>
  <si>
    <t>Jeremiah Roth</t>
  </si>
  <si>
    <t>Victor Gaines</t>
  </si>
  <si>
    <t>Ross Reilly</t>
  </si>
  <si>
    <t>Caitlyn Morrow</t>
  </si>
  <si>
    <t>Sonia Swanson</t>
  </si>
  <si>
    <t>Frank Koch</t>
  </si>
  <si>
    <t>Warren Huber</t>
  </si>
  <si>
    <t>Robin Browning</t>
  </si>
  <si>
    <t>Jonathon Walsh</t>
  </si>
  <si>
    <t>Clinton Marsh</t>
  </si>
  <si>
    <t>Gabriella Zuniga</t>
  </si>
  <si>
    <t>Barbara Armstrong</t>
  </si>
  <si>
    <t>Carrie Shepherd</t>
  </si>
  <si>
    <t>Sue Parrish</t>
  </si>
  <si>
    <t>Loretta Cannon</t>
  </si>
  <si>
    <t>Nathan Buck</t>
  </si>
  <si>
    <t>Alisha Moses</t>
  </si>
  <si>
    <t>Cassie Page</t>
  </si>
  <si>
    <t>Rebecca West</t>
  </si>
  <si>
    <t>Kathleen Hahn</t>
  </si>
  <si>
    <t>Lee Salas</t>
  </si>
  <si>
    <t>Mia Nicholson</t>
  </si>
  <si>
    <t>Penny Church</t>
  </si>
  <si>
    <t>Ricky Mathis</t>
  </si>
  <si>
    <t>Donna Dickerson</t>
  </si>
  <si>
    <t>Joshua Hudson</t>
  </si>
  <si>
    <t>Noah Byrd</t>
  </si>
  <si>
    <t>Stacy Doyle</t>
  </si>
  <si>
    <t>Sylvia Barker</t>
  </si>
  <si>
    <t>Frances Vaughn</t>
  </si>
  <si>
    <t>Kirk Melton</t>
  </si>
  <si>
    <t>Casey Blevins</t>
  </si>
  <si>
    <t>Marcia Navarro</t>
  </si>
  <si>
    <t>Alan Avery</t>
  </si>
  <si>
    <t>Kathleen Guerrero</t>
  </si>
  <si>
    <t>Jorge Lawson</t>
  </si>
  <si>
    <t>Alexis Parrish</t>
  </si>
  <si>
    <t>Terri Golden</t>
  </si>
  <si>
    <t>Sergio Clements</t>
  </si>
  <si>
    <t>Ronald Padilla</t>
  </si>
  <si>
    <t>Erin Dunn</t>
  </si>
  <si>
    <t>Nina Bentley</t>
  </si>
  <si>
    <t>Devin Howard</t>
  </si>
  <si>
    <t>Cheryl Hardy</t>
  </si>
  <si>
    <t>Max Compton</t>
  </si>
  <si>
    <t>Jacqueline Lindsey</t>
  </si>
  <si>
    <t>Bernard Bright</t>
  </si>
  <si>
    <t>Misty Cardenas</t>
  </si>
  <si>
    <t>Bernard Yoder</t>
  </si>
  <si>
    <t>Kaylee Mckinney</t>
  </si>
  <si>
    <t>Antonio Mayer</t>
  </si>
  <si>
    <t>Robin Johnson</t>
  </si>
  <si>
    <t>Terrence Durham</t>
  </si>
  <si>
    <t>Angelica Rubio</t>
  </si>
  <si>
    <t>Cameron Walsh</t>
  </si>
  <si>
    <t>Brent Everett</t>
  </si>
  <si>
    <t>Nathan Walter</t>
  </si>
  <si>
    <t>Kaitlin Robbins</t>
  </si>
  <si>
    <t>Ernest Watson</t>
  </si>
  <si>
    <t>Kristin Bush</t>
  </si>
  <si>
    <t>Jeremy Collins</t>
  </si>
  <si>
    <t>Sue Butler</t>
  </si>
  <si>
    <t>Alex Price</t>
  </si>
  <si>
    <t>Allison Hodge</t>
  </si>
  <si>
    <t>Andrew Miles</t>
  </si>
  <si>
    <t>Johnathan Grant</t>
  </si>
  <si>
    <t>Dustin Holland</t>
  </si>
  <si>
    <t>Christie Sanchez</t>
  </si>
  <si>
    <t>Eric Dixon</t>
  </si>
  <si>
    <t>Marisa Mills</t>
  </si>
  <si>
    <t>Terrance Allison</t>
  </si>
  <si>
    <t>Max Ayers</t>
  </si>
  <si>
    <t>Adrian Howard</t>
  </si>
  <si>
    <t>Leonard Moran</t>
  </si>
  <si>
    <t>Cathy Turner</t>
  </si>
  <si>
    <t>Penny Holmes</t>
  </si>
  <si>
    <t>Philip Dyer</t>
  </si>
  <si>
    <t>Danielle Mcgee</t>
  </si>
  <si>
    <t>Vernon Alexander</t>
  </si>
  <si>
    <t>Crystal Mooney</t>
  </si>
  <si>
    <t>Reginald Spence</t>
  </si>
  <si>
    <t>Gerald Ballard</t>
  </si>
  <si>
    <t>Connie Weiss</t>
  </si>
  <si>
    <t>Melinda Bates</t>
  </si>
  <si>
    <t>Kristen West</t>
  </si>
  <si>
    <t>Samantha Pruitt</t>
  </si>
  <si>
    <t>Chase Raymond</t>
  </si>
  <si>
    <t>Dawn Hayes</t>
  </si>
  <si>
    <t>Kristen Sharp</t>
  </si>
  <si>
    <t>Xavier Farley</t>
  </si>
  <si>
    <t>Seth Castro</t>
  </si>
  <si>
    <t>Jenna Lozano</t>
  </si>
  <si>
    <t>Tina Burke</t>
  </si>
  <si>
    <t>Bill Obrien</t>
  </si>
  <si>
    <t>Arthur Patrick</t>
  </si>
  <si>
    <t>Katelyn Morrow</t>
  </si>
  <si>
    <t>Neil Benson</t>
  </si>
  <si>
    <t>Ryan Hawkins</t>
  </si>
  <si>
    <t>Donna Simmons</t>
  </si>
  <si>
    <t>Helen Middleton</t>
  </si>
  <si>
    <t>Alejandra Petersen</t>
  </si>
  <si>
    <t>Daisy Keller</t>
  </si>
  <si>
    <t>Stefanie Novak</t>
  </si>
  <si>
    <t>Antonio Reynolds</t>
  </si>
  <si>
    <t>Katie Hodge</t>
  </si>
  <si>
    <t>Billy Galloway</t>
  </si>
  <si>
    <t>Brendan Hartman</t>
  </si>
  <si>
    <t>Sabrina Kent</t>
  </si>
  <si>
    <t>Phyllis Gutierrez</t>
  </si>
  <si>
    <t>Jim Haley</t>
  </si>
  <si>
    <t>Vernon Mccann</t>
  </si>
  <si>
    <t>Isabella Weber</t>
  </si>
  <si>
    <t>Russell Burgess</t>
  </si>
  <si>
    <t>Maria Whitney</t>
  </si>
  <si>
    <t>Cindy Cortez</t>
  </si>
  <si>
    <t>Penny Hester</t>
  </si>
  <si>
    <t>Jorge Rowe</t>
  </si>
  <si>
    <t>Perry Raymond</t>
  </si>
  <si>
    <t>Linda Ballard</t>
  </si>
  <si>
    <t>Todd Bryan</t>
  </si>
  <si>
    <t>Chelsea Todd</t>
  </si>
  <si>
    <t>Jorge Barron</t>
  </si>
  <si>
    <t>Barbara Fry</t>
  </si>
  <si>
    <t>Rebekah Poole</t>
  </si>
  <si>
    <t>Riley Hayes</t>
  </si>
  <si>
    <t>Sydney Hooper</t>
  </si>
  <si>
    <t>Tonya Ford</t>
  </si>
  <si>
    <t>Kathy Mcintyre</t>
  </si>
  <si>
    <t>Holly Mueller</t>
  </si>
  <si>
    <t>Duane Prince</t>
  </si>
  <si>
    <t>Patricia Singh</t>
  </si>
  <si>
    <t>Johnathan Baird</t>
  </si>
  <si>
    <t>Tonya Montgomery</t>
  </si>
  <si>
    <t>Austin Hatfield</t>
  </si>
  <si>
    <t>Glenn Frey</t>
  </si>
  <si>
    <t>Erica Duran</t>
  </si>
  <si>
    <t>Evan Booker</t>
  </si>
  <si>
    <t>Cynthia Huynh</t>
  </si>
  <si>
    <t>Kristy Hickman</t>
  </si>
  <si>
    <t>Sean Shelton</t>
  </si>
  <si>
    <t>Richard Wolfe</t>
  </si>
  <si>
    <t>Connor Acevedo</t>
  </si>
  <si>
    <t>Judith Davis</t>
  </si>
  <si>
    <t>Grant Payne</t>
  </si>
  <si>
    <t>Kelli Downs</t>
  </si>
  <si>
    <t>Brandi Frost</t>
  </si>
  <si>
    <t>Carolyn Dodson</t>
  </si>
  <si>
    <t>Jesus Cervantes</t>
  </si>
  <si>
    <t>Louis Key</t>
  </si>
  <si>
    <t>Linda Mckenzie</t>
  </si>
  <si>
    <t>Stanley Reeves</t>
  </si>
  <si>
    <t>Breanna Hayden</t>
  </si>
  <si>
    <t>Don Conrad</t>
  </si>
  <si>
    <t>Kyle Pollard</t>
  </si>
  <si>
    <t>Candace Stevens</t>
  </si>
  <si>
    <t>Loretta Price</t>
  </si>
  <si>
    <t>Sandy Conrad</t>
  </si>
  <si>
    <t>Noah Gates</t>
  </si>
  <si>
    <t>Perry Tran</t>
  </si>
  <si>
    <t>Cody Davidson</t>
  </si>
  <si>
    <t>Nicholas Yoder</t>
  </si>
  <si>
    <t>Jeffery Tucker</t>
  </si>
  <si>
    <t>Jacob Johns</t>
  </si>
  <si>
    <t>Daniel Ali</t>
  </si>
  <si>
    <t>Mia Pacheco</t>
  </si>
  <si>
    <t>Caroline Dudley</t>
  </si>
  <si>
    <t>Elijah Cole</t>
  </si>
  <si>
    <t>April Dodson</t>
  </si>
  <si>
    <t>Bryan Stark</t>
  </si>
  <si>
    <t>Katie Gill</t>
  </si>
  <si>
    <t>Patricia Page</t>
  </si>
  <si>
    <t>Herbert Salinas</t>
  </si>
  <si>
    <t>Kelsey Warren</t>
  </si>
  <si>
    <t>Tonya Duffy</t>
  </si>
  <si>
    <t>Donald Pratt</t>
  </si>
  <si>
    <t>Don Lawrence</t>
  </si>
  <si>
    <t>Theodore Adkins</t>
  </si>
  <si>
    <t>Shaun Simmons</t>
  </si>
  <si>
    <t>Austin Cisneros</t>
  </si>
  <si>
    <t>Ross Hunt</t>
  </si>
  <si>
    <t>Linda Henson</t>
  </si>
  <si>
    <t>Willie Watkins</t>
  </si>
  <si>
    <t>Bryce Greene</t>
  </si>
  <si>
    <t>Jaime Schmitt</t>
  </si>
  <si>
    <t>Zachary Mcintosh</t>
  </si>
  <si>
    <t>Mike Duncan</t>
  </si>
  <si>
    <t>Pam Weiss</t>
  </si>
  <si>
    <t>Brittney Juarez</t>
  </si>
  <si>
    <t>Mia Odom</t>
  </si>
  <si>
    <t>Casey Weber</t>
  </si>
  <si>
    <t>Aimee Khan</t>
  </si>
  <si>
    <t>Nathaniel Wall</t>
  </si>
  <si>
    <t>Jackie Zhang</t>
  </si>
  <si>
    <t>Madison Richmond</t>
  </si>
  <si>
    <t>Carly Hicks</t>
  </si>
  <si>
    <t>Antonio Russell</t>
  </si>
  <si>
    <t>Valerie Valencia</t>
  </si>
  <si>
    <t>Tommy Lambert</t>
  </si>
  <si>
    <t>Norma Brooks</t>
  </si>
  <si>
    <t>Philip Jordan</t>
  </si>
  <si>
    <t>Mandy Levine</t>
  </si>
  <si>
    <t>Margaret Stein</t>
  </si>
  <si>
    <t>Dean Pennington</t>
  </si>
  <si>
    <t>Clifford Lutz</t>
  </si>
  <si>
    <t>Rita Singleton</t>
  </si>
  <si>
    <t>Kathy Knapp</t>
  </si>
  <si>
    <t>Alexandria Daniel</t>
  </si>
  <si>
    <t>Angelica Sandoval</t>
  </si>
  <si>
    <t>Mackenzie Mcmillan</t>
  </si>
  <si>
    <t>Mia Cook</t>
  </si>
  <si>
    <t>April Frost</t>
  </si>
  <si>
    <t>Cassidy Stevens</t>
  </si>
  <si>
    <t>Martin Greene</t>
  </si>
  <si>
    <t>Michele Nielsen</t>
  </si>
  <si>
    <t>Brett Brown</t>
  </si>
  <si>
    <t>Darrell Neal</t>
  </si>
  <si>
    <t>Shelley Bowers</t>
  </si>
  <si>
    <t>Cristian Myers</t>
  </si>
  <si>
    <t>Traci Boyle</t>
  </si>
  <si>
    <t>Jessica Caldwell</t>
  </si>
  <si>
    <t>Johnathan Randolph</t>
  </si>
  <si>
    <t>Natasha Love</t>
  </si>
  <si>
    <t>Tony English</t>
  </si>
  <si>
    <t>Carlos Rowland</t>
  </si>
  <si>
    <t>Russell Fleming</t>
  </si>
  <si>
    <t>Gloria Dougherty</t>
  </si>
  <si>
    <t>Justin Burton</t>
  </si>
  <si>
    <t>Austin Clements</t>
  </si>
  <si>
    <t>Ray Cobb</t>
  </si>
  <si>
    <t>Kara Proctor</t>
  </si>
  <si>
    <t>Allison Hess</t>
  </si>
  <si>
    <t>Sonya Morales</t>
  </si>
  <si>
    <t>Bryce Hansen</t>
  </si>
  <si>
    <t>Charlene Wolfe</t>
  </si>
  <si>
    <t>Kristopher Patel</t>
  </si>
  <si>
    <t>Terry Conley</t>
  </si>
  <si>
    <t>Darrell Wagner</t>
  </si>
  <si>
    <t>Desiree Singleton</t>
  </si>
  <si>
    <t>Shelly Lane</t>
  </si>
  <si>
    <t>Logan Dean</t>
  </si>
  <si>
    <t>Marisa Shaffer</t>
  </si>
  <si>
    <t>Bob Valencia</t>
  </si>
  <si>
    <t>Stacy Simon</t>
  </si>
  <si>
    <t>Phillip Burgess</t>
  </si>
  <si>
    <t>Paige Warren</t>
  </si>
  <si>
    <t>Christy Ball</t>
  </si>
  <si>
    <t>Catherine Stanton</t>
  </si>
  <si>
    <t>Zoe Huber</t>
  </si>
  <si>
    <t>Joyce Robertson</t>
  </si>
  <si>
    <t>Rhonda Macias</t>
  </si>
  <si>
    <t>Allen Ross</t>
  </si>
  <si>
    <t>Roberto Shannon</t>
  </si>
  <si>
    <t>Shaun Rocha</t>
  </si>
  <si>
    <t>Luis Meadows</t>
  </si>
  <si>
    <t>Chad Copeland</t>
  </si>
  <si>
    <t>Judy Hayden</t>
  </si>
  <si>
    <t>Johnny Oconnell</t>
  </si>
  <si>
    <t>Tamara Gentry</t>
  </si>
  <si>
    <t>Keith Griffin</t>
  </si>
  <si>
    <t>Angelica Humphrey</t>
  </si>
  <si>
    <t>Derrick Gomez</t>
  </si>
  <si>
    <t>Shelly Irwin</t>
  </si>
  <si>
    <t>Brady Meza</t>
  </si>
  <si>
    <t>Yvette Lutz</t>
  </si>
  <si>
    <t>Colleen Larsen</t>
  </si>
  <si>
    <t>Rodney Walsh</t>
  </si>
  <si>
    <t>Sylvia Ashley</t>
  </si>
  <si>
    <t>Natalie Hall</t>
  </si>
  <si>
    <t>Candice Forbes</t>
  </si>
  <si>
    <t>Alfred Hodge</t>
  </si>
  <si>
    <t>Alvin Gibson</t>
  </si>
  <si>
    <t>Larry Burke</t>
  </si>
  <si>
    <t>Kaitlin Sullivan</t>
  </si>
  <si>
    <t>Ricky Osborne</t>
  </si>
  <si>
    <t>Eric Bautista</t>
  </si>
  <si>
    <t>Tricia Patrick</t>
  </si>
  <si>
    <t>Molly Fletcher</t>
  </si>
  <si>
    <t>Rodney Bernard</t>
  </si>
  <si>
    <t>Craig Hamilton</t>
  </si>
  <si>
    <t>Kristine Jimenez</t>
  </si>
  <si>
    <t>Cheyenne Hunt</t>
  </si>
  <si>
    <t>Shawn Watkins</t>
  </si>
  <si>
    <t>Johnathan Griffin</t>
  </si>
  <si>
    <t>Bruce Ruiz</t>
  </si>
  <si>
    <t>Clayton Steele</t>
  </si>
  <si>
    <t>Derrick Valenzuela</t>
  </si>
  <si>
    <t>Candace Nixon</t>
  </si>
  <si>
    <t>Damon Nichols</t>
  </si>
  <si>
    <t>Regina Walsh</t>
  </si>
  <si>
    <t>Caroline Rowe</t>
  </si>
  <si>
    <t>Wendy Mckee</t>
  </si>
  <si>
    <t>Johnathan Paul</t>
  </si>
  <si>
    <t>Gavin Arellano</t>
  </si>
  <si>
    <t>Alyssa Stevenson</t>
  </si>
  <si>
    <t>Brandy Cortez</t>
  </si>
  <si>
    <t>Kirsten Baird</t>
  </si>
  <si>
    <t>Candice House</t>
  </si>
  <si>
    <t>Carrie Good</t>
  </si>
  <si>
    <t>Joann Spencer</t>
  </si>
  <si>
    <t>Gina Powell</t>
  </si>
  <si>
    <t>Amanda Lucas</t>
  </si>
  <si>
    <t>Kristine Blanchard</t>
  </si>
  <si>
    <t>Toni Conway</t>
  </si>
  <si>
    <t>Jeanne Ortega</t>
  </si>
  <si>
    <t>Heather Orozco</t>
  </si>
  <si>
    <t>Douglas Hays</t>
  </si>
  <si>
    <t>Mercedes George</t>
  </si>
  <si>
    <t>Selena Richmond</t>
  </si>
  <si>
    <t>Francis Strong</t>
  </si>
  <si>
    <t>Grace Buchanan</t>
  </si>
  <si>
    <t>Paul Hoffman</t>
  </si>
  <si>
    <t>Judith Zavala</t>
  </si>
  <si>
    <t>Devon Conway</t>
  </si>
  <si>
    <t>Emily Carey</t>
  </si>
  <si>
    <t>Dean Thompson</t>
  </si>
  <si>
    <t>Daisy Weiss</t>
  </si>
  <si>
    <t>Dan Cox</t>
  </si>
  <si>
    <t>Dalton Schmitt</t>
  </si>
  <si>
    <t>Cindy Becker</t>
  </si>
  <si>
    <t>Erika Mendez</t>
  </si>
  <si>
    <t>Sherri Conrad</t>
  </si>
  <si>
    <t>Melinda Gallagher</t>
  </si>
  <si>
    <t>Kaitlin Miller</t>
  </si>
  <si>
    <t>Lydia Irwin</t>
  </si>
  <si>
    <t>Eileen Hernandez</t>
  </si>
  <si>
    <t>Darrell Adkins</t>
  </si>
  <si>
    <t>Peggy Mahoney</t>
  </si>
  <si>
    <t>Yolanda Wilson</t>
  </si>
  <si>
    <t>Victor Wu</t>
  </si>
  <si>
    <t>Earl Hansen</t>
  </si>
  <si>
    <t>Alison Fields</t>
  </si>
  <si>
    <t>Ana Decker</t>
  </si>
  <si>
    <t>Becky Larsen</t>
  </si>
  <si>
    <t>Erik Gamble</t>
  </si>
  <si>
    <t>Toni Hoffman</t>
  </si>
  <si>
    <t>Jerome Mccall</t>
  </si>
  <si>
    <t>Desiree Higgins</t>
  </si>
  <si>
    <t>Kerry Stevenson</t>
  </si>
  <si>
    <t>Lorraine Stephens</t>
  </si>
  <si>
    <t>Brett Hinton</t>
  </si>
  <si>
    <t>Micheal Clay</t>
  </si>
  <si>
    <t>Rebekah Larson</t>
  </si>
  <si>
    <t>Kara Downs</t>
  </si>
  <si>
    <t>Tony Booth</t>
  </si>
  <si>
    <t>Vincent Rich</t>
  </si>
  <si>
    <t>Larry Mayo</t>
  </si>
  <si>
    <t>Selena Brooks</t>
  </si>
  <si>
    <t>Albert Dennis</t>
  </si>
  <si>
    <t>Loretta Hebert</t>
  </si>
  <si>
    <t>Jean Reynolds</t>
  </si>
  <si>
    <t>Brady Woods</t>
  </si>
  <si>
    <t>Jared Carter</t>
  </si>
  <si>
    <t>Stephen Browning</t>
  </si>
  <si>
    <t>Craig Boyd</t>
  </si>
  <si>
    <t>Brian Butler</t>
  </si>
  <si>
    <t>Hector Jacobson</t>
  </si>
  <si>
    <t>Crystal Villa</t>
  </si>
  <si>
    <t>Albert Flynn</t>
  </si>
  <si>
    <t>Briana Norton</t>
  </si>
  <si>
    <t>Ariana Carson</t>
  </si>
  <si>
    <t>Jillian Weeks</t>
  </si>
  <si>
    <t>Blake Pierce</t>
  </si>
  <si>
    <t>Austin Rowland</t>
  </si>
  <si>
    <t>Fred Barry</t>
  </si>
  <si>
    <t>Alex Fitzgerald</t>
  </si>
  <si>
    <t>Patricia Mckee</t>
  </si>
  <si>
    <t>Chris Yoder</t>
  </si>
  <si>
    <t>Jeff Ferguson</t>
  </si>
  <si>
    <t>Kirk Short</t>
  </si>
  <si>
    <t>Francis Terrell</t>
  </si>
  <si>
    <t>Katherine Perkins</t>
  </si>
  <si>
    <t>Chloe Miranda</t>
  </si>
  <si>
    <t>Nancy Cruz</t>
  </si>
  <si>
    <t>Kathryn Johnston</t>
  </si>
  <si>
    <t>Andrea Reed</t>
  </si>
  <si>
    <t>Ronald Avery</t>
  </si>
  <si>
    <t>Parker Bolton</t>
  </si>
  <si>
    <t>Dalton Solomon</t>
  </si>
  <si>
    <t>Patty Cohen</t>
  </si>
  <si>
    <t>Brenda Tate</t>
  </si>
  <si>
    <t>Seth Ryan</t>
  </si>
  <si>
    <t>Patricia Rogers</t>
  </si>
  <si>
    <t>Marisa Todd</t>
  </si>
  <si>
    <t>Sherry Sheppard</t>
  </si>
  <si>
    <t>Barbara Eaton</t>
  </si>
  <si>
    <t>Andre Brady</t>
  </si>
  <si>
    <t>Lawrence Randall</t>
  </si>
  <si>
    <t>Jeff Huff</t>
  </si>
  <si>
    <t>Isabella Rivera</t>
  </si>
  <si>
    <t>Bernard Prince</t>
  </si>
  <si>
    <t>Rose Massey</t>
  </si>
  <si>
    <t>Mason Cannon</t>
  </si>
  <si>
    <t>Michael Valdez</t>
  </si>
  <si>
    <t>Angela Rivas</t>
  </si>
  <si>
    <t>Randy Weaver</t>
  </si>
  <si>
    <t>Francisco Mcintyre</t>
  </si>
  <si>
    <t>Warren Hooper</t>
  </si>
  <si>
    <t>Shane Stephenson</t>
  </si>
  <si>
    <t>Kelli Hurley</t>
  </si>
  <si>
    <t>Michelle Oconnell</t>
  </si>
  <si>
    <t>Curtis Little</t>
  </si>
  <si>
    <t>Ronald Meza</t>
  </si>
  <si>
    <t>Antonio Rocha</t>
  </si>
  <si>
    <t>Glenda Randall</t>
  </si>
  <si>
    <t>Deanna Hodge</t>
  </si>
  <si>
    <t>Tricia Vasquez</t>
  </si>
  <si>
    <t>Rachael Dickerson</t>
  </si>
  <si>
    <t>Eileen Knox</t>
  </si>
  <si>
    <t>Anita Curry</t>
  </si>
  <si>
    <t>Gilbert Rich</t>
  </si>
  <si>
    <t>Tanya Wheeler</t>
  </si>
  <si>
    <t>Andrea Raymond</t>
  </si>
  <si>
    <t>Tim Grant</t>
  </si>
  <si>
    <t>Jackie Clarke</t>
  </si>
  <si>
    <t>Melody Hickman</t>
  </si>
  <si>
    <t>Ian Meadows</t>
  </si>
  <si>
    <t>Seth Lloyd</t>
  </si>
  <si>
    <t>Selena Contreras</t>
  </si>
  <si>
    <t>Candice Shepherd</t>
  </si>
  <si>
    <t>Aimee Hughes</t>
  </si>
  <si>
    <t>Levi Molina</t>
  </si>
  <si>
    <t>Dawn Peters</t>
  </si>
  <si>
    <t>Dean Hayes</t>
  </si>
  <si>
    <t>Sherri Grimes</t>
  </si>
  <si>
    <t>Kristi Woods</t>
  </si>
  <si>
    <t>Glenn Petty</t>
  </si>
  <si>
    <t>Tracey Contreras</t>
  </si>
  <si>
    <t>William Moon</t>
  </si>
  <si>
    <t>Candace Clements</t>
  </si>
  <si>
    <t>Vicki Carroll</t>
  </si>
  <si>
    <t>Stacie Carroll</t>
  </si>
  <si>
    <t>Guy Dominguez</t>
  </si>
  <si>
    <t>Hunter Francis</t>
  </si>
  <si>
    <t>Jonathon Watson</t>
  </si>
  <si>
    <t>Brandi Thomas</t>
  </si>
  <si>
    <t>Betty Keith</t>
  </si>
  <si>
    <t>Robert Clements</t>
  </si>
  <si>
    <t>Frances Melton</t>
  </si>
  <si>
    <t>Margaret Guerrero</t>
  </si>
  <si>
    <t>Natalie York</t>
  </si>
  <si>
    <t>Steve Hood</t>
  </si>
  <si>
    <t>Christie Banks</t>
  </si>
  <si>
    <t>Brandon Mcfarland</t>
  </si>
  <si>
    <t>Gregory Richmond</t>
  </si>
  <si>
    <t>Angel Andrade</t>
  </si>
  <si>
    <t>Steven Case</t>
  </si>
  <si>
    <t>Nathan Lutz</t>
  </si>
  <si>
    <t>Shawn Gamble</t>
  </si>
  <si>
    <t>Omar Sharp</t>
  </si>
  <si>
    <t>Zoe Hunter</t>
  </si>
  <si>
    <t>Marco Suarez</t>
  </si>
  <si>
    <t>Caleb Hernandez</t>
  </si>
  <si>
    <t>Adam Bryan</t>
  </si>
  <si>
    <t>Brianna Nichols</t>
  </si>
  <si>
    <t>Malik Craig</t>
  </si>
  <si>
    <t>Colleen Murphy</t>
  </si>
  <si>
    <t>Kim Harding</t>
  </si>
  <si>
    <t>Brandy Benson</t>
  </si>
  <si>
    <t>Curtis Reeves</t>
  </si>
  <si>
    <t>Cesar Sanchez</t>
  </si>
  <si>
    <t>Charles Clarke</t>
  </si>
  <si>
    <t>Stanley Camacho</t>
  </si>
  <si>
    <t>Jacqueline Krueger</t>
  </si>
  <si>
    <t>Courtney Roach</t>
  </si>
  <si>
    <t>Bill Hunter</t>
  </si>
  <si>
    <t>Kathryn Flynn</t>
  </si>
  <si>
    <t>Priscilla Prince</t>
  </si>
  <si>
    <t>Jessica Avery</t>
  </si>
  <si>
    <t>Ray Holland</t>
  </si>
  <si>
    <t>Deanna Jordan</t>
  </si>
  <si>
    <t>Sherry Maynard</t>
  </si>
  <si>
    <t>Roberta Velazquez</t>
  </si>
  <si>
    <t>Martha Case</t>
  </si>
  <si>
    <t>Yesenia Callahan</t>
  </si>
  <si>
    <t>Michael Le</t>
  </si>
  <si>
    <t>Abigail Case</t>
  </si>
  <si>
    <t>Elaine Coleman</t>
  </si>
  <si>
    <t>Loretta Best</t>
  </si>
  <si>
    <t>Richard Mathews</t>
  </si>
  <si>
    <t>Kristen Pineda</t>
  </si>
  <si>
    <t>Latoya Boyer</t>
  </si>
  <si>
    <t>Jorge Golden</t>
  </si>
  <si>
    <t>Bryan Hayes</t>
  </si>
  <si>
    <t>Brendan Oneill</t>
  </si>
  <si>
    <t>Gwendolyn Reeves</t>
  </si>
  <si>
    <t>Warren Hatfield</t>
  </si>
  <si>
    <t>Earl Swanson</t>
  </si>
  <si>
    <t>Kari Wise</t>
  </si>
  <si>
    <t>Erin Middleton</t>
  </si>
  <si>
    <t>Arthur Vasquez</t>
  </si>
  <si>
    <t>Roger Jordan</t>
  </si>
  <si>
    <t>Robyn Lowe</t>
  </si>
  <si>
    <t>Luis Stafford</t>
  </si>
  <si>
    <t>Jacob Humphrey</t>
  </si>
  <si>
    <t>Frederick Sanders</t>
  </si>
  <si>
    <t>Julian Ho</t>
  </si>
  <si>
    <t>Philip Delacruz</t>
  </si>
  <si>
    <t>Debbie Castaneda</t>
  </si>
  <si>
    <t>Eugene Beltran</t>
  </si>
  <si>
    <t>Deanna Vaughn</t>
  </si>
  <si>
    <t>Paula Deleon</t>
  </si>
  <si>
    <t>Mario Walsh</t>
  </si>
  <si>
    <t>Brittany Velazquez</t>
  </si>
  <si>
    <t>Alexa Kemp</t>
  </si>
  <si>
    <t>Cody Olson</t>
  </si>
  <si>
    <t>Makayla Baird</t>
  </si>
  <si>
    <t>Peter Frye</t>
  </si>
  <si>
    <t>Brendan Hamilton</t>
  </si>
  <si>
    <t>Rickey Everett</t>
  </si>
  <si>
    <t>Angelica Washington</t>
  </si>
  <si>
    <t>Nicolas Rivas</t>
  </si>
  <si>
    <t>Katie Weeks</t>
  </si>
  <si>
    <t>Richard Foster</t>
  </si>
  <si>
    <t>Jocelyn Gill</t>
  </si>
  <si>
    <t>Gregg Haynes</t>
  </si>
  <si>
    <t>Christian Frye</t>
  </si>
  <si>
    <t>Jason Snyder</t>
  </si>
  <si>
    <t>Clifford Zuniga</t>
  </si>
  <si>
    <t>Erin Ray</t>
  </si>
  <si>
    <t>Luke Gardner</t>
  </si>
  <si>
    <t>Latoya Savage</t>
  </si>
  <si>
    <t>Todd Wilson</t>
  </si>
  <si>
    <t>Gail Weaver</t>
  </si>
  <si>
    <t>Jamie Mcbride</t>
  </si>
  <si>
    <t>Wanda Farley</t>
  </si>
  <si>
    <t>Bailey Fuller</t>
  </si>
  <si>
    <t>Dakota Conrad</t>
  </si>
  <si>
    <t>Veronica Mayer</t>
  </si>
  <si>
    <t>Marcus Williams</t>
  </si>
  <si>
    <t>Sergio Petty</t>
  </si>
  <si>
    <t>Hayley Berg</t>
  </si>
  <si>
    <t>Frederick Patel</t>
  </si>
  <si>
    <t>Ray Mcdowell</t>
  </si>
  <si>
    <t>Rose Nolan</t>
  </si>
  <si>
    <t>Spencer Hutchinson</t>
  </si>
  <si>
    <t>Blake Pearson</t>
  </si>
  <si>
    <t>Sonia Tanner</t>
  </si>
  <si>
    <t>Eddie Donaldson</t>
  </si>
  <si>
    <t>Travis Conner</t>
  </si>
  <si>
    <t>Zoe Beltran</t>
  </si>
  <si>
    <t>Devon Riley</t>
  </si>
  <si>
    <t>Connor Barrera</t>
  </si>
  <si>
    <t>Selena Kramer</t>
  </si>
  <si>
    <t>Tyrone Farmer</t>
  </si>
  <si>
    <t>Kent Adkins</t>
  </si>
  <si>
    <t>Leonard Perez</t>
  </si>
  <si>
    <t>Pedro Riddle</t>
  </si>
  <si>
    <t>Judith Davies</t>
  </si>
  <si>
    <t>Katherine Gardner</t>
  </si>
  <si>
    <t>Shelia Cantrell</t>
  </si>
  <si>
    <t>Christina Lamb</t>
  </si>
  <si>
    <t>Carla Harrison</t>
  </si>
  <si>
    <t>Mallory Melendez</t>
  </si>
  <si>
    <t>Latasha Collins</t>
  </si>
  <si>
    <t>Nina Bell</t>
  </si>
  <si>
    <t>Pam Holder</t>
  </si>
  <si>
    <t>Norma Schaefer</t>
  </si>
  <si>
    <t>Michele Walsh</t>
  </si>
  <si>
    <t>Bridget Newman</t>
  </si>
  <si>
    <t>Maria Ponce</t>
  </si>
  <si>
    <t>Sergio Lloyd</t>
  </si>
  <si>
    <t>Scott Anderson</t>
  </si>
  <si>
    <t>Sophia Wilcox</t>
  </si>
  <si>
    <t>Caroline Bender</t>
  </si>
  <si>
    <t>Levi Bartlett</t>
  </si>
  <si>
    <t>Mary Hays</t>
  </si>
  <si>
    <t>April Morse</t>
  </si>
  <si>
    <t>Jim Jackson</t>
  </si>
  <si>
    <t>Joanna Kane</t>
  </si>
  <si>
    <t>Alfred Nunez</t>
  </si>
  <si>
    <t>Maxwell Frey</t>
  </si>
  <si>
    <t>Antonio Patel</t>
  </si>
  <si>
    <t>Vanessa Mayer</t>
  </si>
  <si>
    <t>Oscar Richard</t>
  </si>
  <si>
    <t>Dominic Hardin</t>
  </si>
  <si>
    <t>Ricky Hubbard</t>
  </si>
  <si>
    <t>Levi Reynolds</t>
  </si>
  <si>
    <t>Evan Chen</t>
  </si>
  <si>
    <t>Tonya Tanner</t>
  </si>
  <si>
    <t>Janice Branch</t>
  </si>
  <si>
    <t>Isaac Gallegos</t>
  </si>
  <si>
    <t>Neil Gaines</t>
  </si>
  <si>
    <t>Lawrence Santiago</t>
  </si>
  <si>
    <t>Alejandro Harrison</t>
  </si>
  <si>
    <t>Cesar Downs</t>
  </si>
  <si>
    <t>Julian Manning</t>
  </si>
  <si>
    <t>Chad Lester</t>
  </si>
  <si>
    <t>Eugene Macias</t>
  </si>
  <si>
    <t>Victoria Washington</t>
  </si>
  <si>
    <t>Jerome Church</t>
  </si>
  <si>
    <t>Jennifer Rodriguez</t>
  </si>
  <si>
    <t>Janice Mueller</t>
  </si>
  <si>
    <t>Vincent Bautista</t>
  </si>
  <si>
    <t>Debbie Doyle</t>
  </si>
  <si>
    <t>Melissa Miller</t>
  </si>
  <si>
    <t>Jaime Patrick</t>
  </si>
  <si>
    <t>Curtis Swanson</t>
  </si>
  <si>
    <t>Ana Raymond</t>
  </si>
  <si>
    <t>Walter Campos</t>
  </si>
  <si>
    <t>Sean Mckee</t>
  </si>
  <si>
    <t>Joyce Kemp</t>
  </si>
  <si>
    <t>Alan Juarez</t>
  </si>
  <si>
    <t>Cristina Mullins</t>
  </si>
  <si>
    <t>Benjamin Mathews</t>
  </si>
  <si>
    <t>Danny Dominguez</t>
  </si>
  <si>
    <t>Jake Cohen</t>
  </si>
  <si>
    <t>Cathy Buck</t>
  </si>
  <si>
    <t>Gloria Hooper</t>
  </si>
  <si>
    <t>Malik Fritz</t>
  </si>
  <si>
    <t>Maureen Daugherty</t>
  </si>
  <si>
    <t>Brandy Shepherd</t>
  </si>
  <si>
    <t>Lonnie Pennington</t>
  </si>
  <si>
    <t>Cheyenne Montgomery</t>
  </si>
  <si>
    <t>Teresa Turner</t>
  </si>
  <si>
    <t>Mackenzie Shea</t>
  </si>
  <si>
    <t>Jon Daniel</t>
  </si>
  <si>
    <t>Harry Tanner</t>
  </si>
  <si>
    <t>Penny Aguilar</t>
  </si>
  <si>
    <t>Jody Taylor</t>
  </si>
  <si>
    <t>Oscar Rosales</t>
  </si>
  <si>
    <t>Christian Dunlap</t>
  </si>
  <si>
    <t>Rita Barker</t>
  </si>
  <si>
    <t>Kelly Mendoza</t>
  </si>
  <si>
    <t>Leslie Rowland</t>
  </si>
  <si>
    <t>Eugene Gay</t>
  </si>
  <si>
    <t>Gabriel Gonzalez</t>
  </si>
  <si>
    <t>Jamie Wong</t>
  </si>
  <si>
    <t>Heidi Mann</t>
  </si>
  <si>
    <t>Raven Wilcox</t>
  </si>
  <si>
    <t>Dominique Cooke</t>
  </si>
  <si>
    <t>Dennis Schmitt</t>
  </si>
  <si>
    <t>Glenn Solomon</t>
  </si>
  <si>
    <t>Frank Travis</t>
  </si>
  <si>
    <t>Adriana Cochran</t>
  </si>
  <si>
    <t>Alisha Rivera</t>
  </si>
  <si>
    <t>Jonathon Barber</t>
  </si>
  <si>
    <t>Sydney Barker</t>
  </si>
  <si>
    <t>Marisa Moran</t>
  </si>
  <si>
    <t>Steve Brady</t>
  </si>
  <si>
    <t>Stacie Blackwell</t>
  </si>
  <si>
    <t>Phillip Poole</t>
  </si>
  <si>
    <t>Selena Petty</t>
  </si>
  <si>
    <t>Molly Cabrera</t>
  </si>
  <si>
    <t>Barry Mcdowell</t>
  </si>
  <si>
    <t>Andres Proctor</t>
  </si>
  <si>
    <t>Calvin Pineda</t>
  </si>
  <si>
    <t>Evan Frazier</t>
  </si>
  <si>
    <t>Kristie Stafford</t>
  </si>
  <si>
    <t>Howard Joyce</t>
  </si>
  <si>
    <t>Gerald Ryan</t>
  </si>
  <si>
    <t>Kristine Vasquez</t>
  </si>
  <si>
    <t>Autumn Morris</t>
  </si>
  <si>
    <t>Isaac Shaw</t>
  </si>
  <si>
    <t>Suzanne Curry</t>
  </si>
  <si>
    <t>Anita Randolph</t>
  </si>
  <si>
    <t>Mary Willis</t>
  </si>
  <si>
    <t>Collin Proctor</t>
  </si>
  <si>
    <t>Lorraine Hubbard</t>
  </si>
  <si>
    <t>Emma Roth</t>
  </si>
  <si>
    <t>Cristian Molina</t>
  </si>
  <si>
    <t>Katelyn Trujillo</t>
  </si>
  <si>
    <t>Kristopher Woods</t>
  </si>
  <si>
    <t>Rickey Cantu</t>
  </si>
  <si>
    <t>Norma Prince</t>
  </si>
  <si>
    <t>Rita Livingston</t>
  </si>
  <si>
    <t>Carla Harris</t>
  </si>
  <si>
    <t>Franklin Vincent</t>
  </si>
  <si>
    <t>Mikayla Arellano</t>
  </si>
  <si>
    <t>Barry Galvan</t>
  </si>
  <si>
    <t>Tara Higgins</t>
  </si>
  <si>
    <t>Kari Stanley</t>
  </si>
  <si>
    <t>Edgar Cole</t>
  </si>
  <si>
    <t>Vernon Powers</t>
  </si>
  <si>
    <t>Dustin Gonzales</t>
  </si>
  <si>
    <t>Julia Wallace</t>
  </si>
  <si>
    <t>Maxwell Mcintosh</t>
  </si>
  <si>
    <t>Barbara Schwartz</t>
  </si>
  <si>
    <t>Lee Shannon</t>
  </si>
  <si>
    <t>Rick Rogers</t>
  </si>
  <si>
    <t>Sally Bean</t>
  </si>
  <si>
    <t>Francis Parker</t>
  </si>
  <si>
    <t>Christie Jordan</t>
  </si>
  <si>
    <t>Kirk Ware</t>
  </si>
  <si>
    <t>Kara Richards</t>
  </si>
  <si>
    <t>Austin Acosta</t>
  </si>
  <si>
    <t>Yesenia Preston</t>
  </si>
  <si>
    <t>Leslie Flowers</t>
  </si>
  <si>
    <t>Jorge Jimenez</t>
  </si>
  <si>
    <t>Selena Mathews</t>
  </si>
  <si>
    <t>Mitchell Hamilton</t>
  </si>
  <si>
    <t>Laurie Long</t>
  </si>
  <si>
    <t>Desiree Fields</t>
  </si>
  <si>
    <t>Tricia Meyers</t>
  </si>
  <si>
    <t>Luke Pittman</t>
  </si>
  <si>
    <t>Ricardo Bentley</t>
  </si>
  <si>
    <t>Helen Chandler</t>
  </si>
  <si>
    <t>Jared Molina</t>
  </si>
  <si>
    <t>Brandon Parsons</t>
  </si>
  <si>
    <t>Connie Grimes</t>
  </si>
  <si>
    <t>Bianca Lane</t>
  </si>
  <si>
    <t>Kelly Shannon</t>
  </si>
  <si>
    <t>Clinton Knapp</t>
  </si>
  <si>
    <t>Dwayne Cortez</t>
  </si>
  <si>
    <t>Shelby White</t>
  </si>
  <si>
    <t>Don Graham</t>
  </si>
  <si>
    <t>Suzanne Scott</t>
  </si>
  <si>
    <t>Savannah Gould</t>
  </si>
  <si>
    <t>Latoya Rangel</t>
  </si>
  <si>
    <t>Brenda Fisher</t>
  </si>
  <si>
    <t>Sean Mays</t>
  </si>
  <si>
    <t>Administration</t>
  </si>
  <si>
    <t xml:space="preserve"> HR</t>
  </si>
  <si>
    <t>Finance</t>
  </si>
  <si>
    <t>IT</t>
  </si>
  <si>
    <t>Sales</t>
  </si>
  <si>
    <t xml:space="preserve"> Production</t>
  </si>
  <si>
    <t xml:space="preserve">Net_Salary_Paid_excluding variable pay </t>
  </si>
  <si>
    <t xml:space="preserve">Net_Salary_Paid_including variable pay </t>
  </si>
  <si>
    <t xml:space="preserve">monthly_work hours </t>
  </si>
  <si>
    <t xml:space="preserve">monthly_overtime hours </t>
  </si>
  <si>
    <t>per_hr_regular pay</t>
  </si>
  <si>
    <t>per_hour_overtime_pay</t>
  </si>
  <si>
    <t xml:space="preserve">market median </t>
  </si>
  <si>
    <t xml:space="preserve">market 25th percentile </t>
  </si>
  <si>
    <t xml:space="preserve">market 75th percentile </t>
  </si>
  <si>
    <t>EMP1000</t>
  </si>
  <si>
    <t xml:space="preserve">shanaya gupta </t>
  </si>
  <si>
    <t xml:space="preserve">market positioning index </t>
  </si>
  <si>
    <t xml:space="preserve">market positioning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</si>
</sst>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0" fillId="0" borderId="1" xfId="0" applyBorder="1"/>
    <xf numFmtId="1" fontId="0" fillId="0" borderId="1" xfId="0" applyNumberFormat="1" applyBorder="1"/>
    <xf numFmtId="0" fontId="0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 vertical="top"/>
    </xf>
    <xf numFmtId="0" fontId="0" fillId="3" borderId="4" xfId="0" applyFont="1" applyFill="1" applyBorder="1"/>
    <xf numFmtId="164" fontId="0" fillId="3" borderId="4" xfId="0" applyNumberFormat="1" applyFont="1" applyFill="1" applyBorder="1"/>
    <xf numFmtId="165" fontId="0" fillId="3" borderId="4" xfId="1" applyNumberFormat="1" applyFont="1" applyFill="1" applyBorder="1"/>
    <xf numFmtId="1" fontId="0" fillId="3" borderId="4" xfId="0" applyNumberFormat="1" applyFont="1" applyFill="1" applyBorder="1"/>
    <xf numFmtId="0" fontId="0" fillId="4" borderId="4" xfId="0" applyFont="1" applyFill="1" applyBorder="1"/>
    <xf numFmtId="164" fontId="0" fillId="4" borderId="4" xfId="0" applyNumberFormat="1" applyFont="1" applyFill="1" applyBorder="1"/>
    <xf numFmtId="165" fontId="0" fillId="4" borderId="4" xfId="1" applyNumberFormat="1" applyFont="1" applyFill="1" applyBorder="1"/>
    <xf numFmtId="1" fontId="0" fillId="4" borderId="4" xfId="0" applyNumberFormat="1" applyFont="1" applyFill="1" applyBorder="1"/>
    <xf numFmtId="0" fontId="0" fillId="4" borderId="2" xfId="0" applyFont="1" applyFill="1" applyBorder="1"/>
    <xf numFmtId="164" fontId="0" fillId="4" borderId="2" xfId="0" applyNumberFormat="1" applyFont="1" applyFill="1" applyBorder="1"/>
    <xf numFmtId="165" fontId="0" fillId="4" borderId="2" xfId="1" applyNumberFormat="1" applyFont="1" applyFill="1" applyBorder="1"/>
    <xf numFmtId="1" fontId="0" fillId="4" borderId="2" xfId="0" applyNumberFormat="1" applyFont="1" applyFill="1" applyBorder="1"/>
    <xf numFmtId="2" fontId="0" fillId="3" borderId="3" xfId="0" applyNumberFormat="1" applyFont="1" applyFill="1" applyBorder="1"/>
    <xf numFmtId="0" fontId="0" fillId="3" borderId="6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2" fontId="0" fillId="3" borderId="4" xfId="0" applyNumberFormat="1" applyFont="1" applyFill="1" applyBorder="1"/>
    <xf numFmtId="0" fontId="2" fillId="2" borderId="0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164" fontId="2" fillId="2" borderId="5" xfId="0" applyNumberFormat="1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009B5-2F72-4CC4-8E67-063474D9A8C9}" name="Table1" displayName="Table1" ref="A1:U1001" totalsRowShown="0" headerRowDxfId="0" tableBorderDxfId="22">
  <autoFilter ref="A1:U1001" xr:uid="{70B009B5-2F72-4CC4-8E67-063474D9A8C9}"/>
  <tableColumns count="21">
    <tableColumn id="1" xr3:uid="{68C796B9-2B75-414A-B03E-11401897659C}" name="Employee_ID" dataDxfId="21"/>
    <tableColumn id="2" xr3:uid="{3A27F9D9-7017-4677-8713-8E7D7B506FBE}" name="Employee_Name" dataDxfId="20"/>
    <tableColumn id="3" xr3:uid="{0DEB5625-6EF4-4D54-9D75-C5CAAB0219A8}" name="Department" dataDxfId="19"/>
    <tableColumn id="4" xr3:uid="{A8EC8D53-9A3E-48D2-9E15-2C2B968B28E2}" name="Date_of_Joining" dataDxfId="18"/>
    <tableColumn id="5" xr3:uid="{479EF6EB-E0EE-4E23-B371-5D10E7438E88}" name="CTC_Annual" dataDxfId="17" dataCellStyle="Comma">
      <calculatedColumnFormula>(F2*12)+(G2*12)</calculatedColumnFormula>
    </tableColumn>
    <tableColumn id="6" xr3:uid="{55F8BBFE-FB28-4302-94D9-6FF2DBE09F58}" name="Fixed_Salary_Monthly" dataDxfId="16"/>
    <tableColumn id="7" xr3:uid="{29AED236-D130-469B-93C3-E542C692F93C}" name="Variable_Pay_Monthly" dataDxfId="15"/>
    <tableColumn id="8" xr3:uid="{CE08CE90-B4A0-4FC3-A83B-4AC99151E611}" name="Basic_Salary" dataDxfId="14">
      <calculatedColumnFormula>F2*50%</calculatedColumnFormula>
    </tableColumn>
    <tableColumn id="9" xr3:uid="{254F0A4F-4785-44AE-AB11-67DD64494361}" name="HRA" dataDxfId="13">
      <calculatedColumnFormula>H2*40%</calculatedColumnFormula>
    </tableColumn>
    <tableColumn id="10" xr3:uid="{616C205E-56F7-4587-BC2C-1B8BE21E50E7}" name="Allowances" dataDxfId="12">
      <calculatedColumnFormula>F2-(H2+I2)</calculatedColumnFormula>
    </tableColumn>
    <tableColumn id="11" xr3:uid="{DDF711BB-0060-4ED8-B465-68F374FD9ADF}" name="PF_Deduction" dataDxfId="11">
      <calculatedColumnFormula>H2*12%</calculatedColumnFormula>
    </tableColumn>
    <tableColumn id="12" xr3:uid="{83551DAF-BAC3-472B-B8AC-F6A08980C290}" name="Professional_Tax" dataDxfId="10"/>
    <tableColumn id="13" xr3:uid="{66B287FF-6989-4E0E-B698-DB9165C7C39F}" name="monthly_work hours " dataDxfId="9">
      <calculatedColumnFormula>8*26</calculatedColumnFormula>
    </tableColumn>
    <tableColumn id="14" xr3:uid="{6A2E340E-517B-46B2-98A2-1B2CAACD475D}" name="monthly_overtime hours " dataDxfId="8"/>
    <tableColumn id="15" xr3:uid="{6A2D93E3-B27B-4BF5-BC7F-6B2B2FA7D088}" name="per_hr_regular pay" dataDxfId="7">
      <calculatedColumnFormula>H2/M2</calculatedColumnFormula>
    </tableColumn>
    <tableColumn id="16" xr3:uid="{E4A62258-D71C-420D-84F6-F97E13CC7DE0}" name="per_hour_overtime_pay" dataDxfId="6">
      <calculatedColumnFormula>O2*2</calculatedColumnFormula>
    </tableColumn>
    <tableColumn id="17" xr3:uid="{02173217-864D-466F-B50E-580DD63E7907}" name="Overtime_Paid" dataDxfId="5">
      <calculatedColumnFormula>P2*N2</calculatedColumnFormula>
    </tableColumn>
    <tableColumn id="18" xr3:uid="{145AA933-14AD-4033-9B17-A7A73D19845F}" name="Net_Salary_Paid_excluding variable pay " dataDxfId="4"/>
    <tableColumn id="19" xr3:uid="{5ECBAA70-3A52-4654-8C39-9D5ECA36B2C0}" name="Net_Salary_Paid_including variable pay " dataDxfId="3">
      <calculatedColumnFormula>R2+G2</calculatedColumnFormula>
    </tableColumn>
    <tableColumn id="20" xr3:uid="{1F0A0A8E-2E55-4661-983B-0EC26EA2FD99}" name="market positioning ratio " dataDxfId="2">
      <calculatedColumnFormula>S2/median_percentile!$B$1</calculatedColumnFormula>
    </tableColumn>
    <tableColumn id="21" xr3:uid="{0C1CDF64-E634-411D-90FF-84808024B8D8}" name="market positioning index " dataDxfId="1">
      <calculatedColumnFormula array="1">_xlfn.IFS(T2&lt;1,"underpaid",T2&gt;1,"overpaid",T2=1,"median pay")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zoomScale="102" zoomScaleNormal="102" workbookViewId="0">
      <selection activeCell="S2" sqref="S2"/>
    </sheetView>
  </sheetViews>
  <sheetFormatPr defaultRowHeight="14.4" x14ac:dyDescent="0.3"/>
  <cols>
    <col min="1" max="1" width="14.109375" style="1" customWidth="1"/>
    <col min="2" max="2" width="20.21875" style="1" bestFit="1" customWidth="1"/>
    <col min="3" max="3" width="14.109375" style="1" customWidth="1"/>
    <col min="4" max="4" width="18.5546875" style="2" customWidth="1"/>
    <col min="5" max="5" width="13.6640625" style="1" customWidth="1"/>
    <col min="6" max="6" width="22.109375" style="1" customWidth="1"/>
    <col min="7" max="7" width="22.44140625" style="1" customWidth="1"/>
    <col min="8" max="8" width="13.5546875" style="1" customWidth="1"/>
    <col min="9" max="9" width="9.77734375" style="1" customWidth="1"/>
    <col min="10" max="10" width="13" style="1" customWidth="1"/>
    <col min="11" max="11" width="14.77734375" style="1" customWidth="1"/>
    <col min="12" max="12" width="17.44140625" style="1" customWidth="1"/>
    <col min="13" max="13" width="21.109375" customWidth="1"/>
    <col min="14" max="14" width="24.77734375" customWidth="1"/>
    <col min="15" max="15" width="19.33203125" customWidth="1"/>
    <col min="16" max="16" width="23.77734375" customWidth="1"/>
    <col min="17" max="17" width="15.77734375" style="1" customWidth="1"/>
    <col min="18" max="18" width="37.5546875" style="1" customWidth="1"/>
    <col min="19" max="19" width="37.109375" style="1" customWidth="1"/>
    <col min="20" max="20" width="24.21875" style="6" customWidth="1"/>
    <col min="21" max="21" width="24.88671875" style="6" customWidth="1"/>
    <col min="22" max="22" width="23.109375" style="6" customWidth="1"/>
  </cols>
  <sheetData>
    <row r="1" spans="1:22" x14ac:dyDescent="0.3">
      <c r="A1" s="25" t="s">
        <v>0</v>
      </c>
      <c r="B1" s="26" t="s">
        <v>1</v>
      </c>
      <c r="C1" s="26" t="s">
        <v>2</v>
      </c>
      <c r="D1" s="27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2019</v>
      </c>
      <c r="N1" s="26" t="s">
        <v>2020</v>
      </c>
      <c r="O1" s="26" t="s">
        <v>2021</v>
      </c>
      <c r="P1" s="26" t="s">
        <v>2022</v>
      </c>
      <c r="Q1" s="26" t="s">
        <v>12</v>
      </c>
      <c r="R1" s="26" t="s">
        <v>2017</v>
      </c>
      <c r="S1" s="26" t="s">
        <v>2018</v>
      </c>
      <c r="T1" s="28" t="s">
        <v>2029</v>
      </c>
      <c r="U1" s="26" t="s">
        <v>2028</v>
      </c>
      <c r="V1" s="7"/>
    </row>
    <row r="2" spans="1:22" x14ac:dyDescent="0.3">
      <c r="A2" s="21" t="s">
        <v>13</v>
      </c>
      <c r="B2" s="8" t="s">
        <v>1012</v>
      </c>
      <c r="C2" s="8" t="s">
        <v>2011</v>
      </c>
      <c r="D2" s="9">
        <v>44218</v>
      </c>
      <c r="E2" s="10">
        <f t="shared" ref="E2:E65" si="0">(F2*12)+(G2*12)</f>
        <v>480000</v>
      </c>
      <c r="F2" s="8">
        <v>35000</v>
      </c>
      <c r="G2" s="8">
        <v>5000</v>
      </c>
      <c r="H2" s="11">
        <f t="shared" ref="H2:H65" si="1">F2*50%</f>
        <v>17500</v>
      </c>
      <c r="I2" s="11">
        <f t="shared" ref="I2:I65" si="2">H2*40%</f>
        <v>7000</v>
      </c>
      <c r="J2" s="11">
        <f t="shared" ref="J2:J65" si="3">F2-(H2+I2)</f>
        <v>10500</v>
      </c>
      <c r="K2" s="11">
        <f t="shared" ref="K2:K65" si="4">H2*12%</f>
        <v>2100</v>
      </c>
      <c r="L2" s="8">
        <v>200</v>
      </c>
      <c r="M2" s="8">
        <f>8*26</f>
        <v>208</v>
      </c>
      <c r="N2" s="11">
        <v>5</v>
      </c>
      <c r="O2" s="11">
        <f>H2/M2</f>
        <v>84.134615384615387</v>
      </c>
      <c r="P2" s="11">
        <f>O2*2</f>
        <v>168.26923076923077</v>
      </c>
      <c r="Q2" s="11">
        <f>P2*N2</f>
        <v>841.34615384615381</v>
      </c>
      <c r="R2" s="11">
        <f>(H2+I2+J2)-(K2+L2)+(Q2)</f>
        <v>33541.346153846156</v>
      </c>
      <c r="S2" s="11">
        <f>R2+G2</f>
        <v>38541.346153846156</v>
      </c>
      <c r="T2" s="20">
        <f>S2/median_percentile!$B$1</f>
        <v>0.76473200896546834</v>
      </c>
      <c r="U2" s="24" t="str" cm="1">
        <f t="array" ref="U2">_xlfn.IFS(T2&lt;1,"underpaid",T2&gt;1,"overpaid",T2=1,"median pay")</f>
        <v>underpaid</v>
      </c>
      <c r="V2" s="5"/>
    </row>
    <row r="3" spans="1:22" x14ac:dyDescent="0.3">
      <c r="A3" s="22" t="s">
        <v>14</v>
      </c>
      <c r="B3" s="12" t="s">
        <v>1013</v>
      </c>
      <c r="C3" s="12" t="s">
        <v>2012</v>
      </c>
      <c r="D3" s="13">
        <v>43837</v>
      </c>
      <c r="E3" s="14">
        <f t="shared" si="0"/>
        <v>600000</v>
      </c>
      <c r="F3" s="12">
        <v>45000</v>
      </c>
      <c r="G3" s="12">
        <v>5000</v>
      </c>
      <c r="H3" s="15">
        <f t="shared" si="1"/>
        <v>22500</v>
      </c>
      <c r="I3" s="15">
        <f t="shared" si="2"/>
        <v>9000</v>
      </c>
      <c r="J3" s="15">
        <f t="shared" si="3"/>
        <v>13500</v>
      </c>
      <c r="K3" s="15">
        <f t="shared" si="4"/>
        <v>2700</v>
      </c>
      <c r="L3" s="12">
        <v>200</v>
      </c>
      <c r="M3" s="12">
        <f t="shared" ref="M3:M66" si="5">8*26</f>
        <v>208</v>
      </c>
      <c r="N3" s="15">
        <v>5</v>
      </c>
      <c r="O3" s="15">
        <f t="shared" ref="O3:O66" si="6">H3/M3</f>
        <v>108.17307692307692</v>
      </c>
      <c r="P3" s="15">
        <f t="shared" ref="P3:P66" si="7">O3*2</f>
        <v>216.34615384615384</v>
      </c>
      <c r="Q3" s="15">
        <f t="shared" ref="Q3:Q66" si="8">P3*N3</f>
        <v>1081.7307692307693</v>
      </c>
      <c r="R3" s="12">
        <v>41800</v>
      </c>
      <c r="S3" s="15">
        <f t="shared" ref="S3:T66" si="9">R3+G3</f>
        <v>46800</v>
      </c>
      <c r="T3" s="20">
        <f>S3/median_percentile!$B$1</f>
        <v>0.92859906544837645</v>
      </c>
      <c r="U3" s="24" t="str" cm="1">
        <f t="array" ref="U3">_xlfn.IFS(T3&lt;1,"underpaid",T3&gt;1,"overpaid",T3=1,"median pay")</f>
        <v>underpaid</v>
      </c>
      <c r="V3" s="5"/>
    </row>
    <row r="4" spans="1:22" x14ac:dyDescent="0.3">
      <c r="A4" s="21" t="s">
        <v>15</v>
      </c>
      <c r="B4" s="8" t="s">
        <v>1014</v>
      </c>
      <c r="C4" s="8" t="s">
        <v>2013</v>
      </c>
      <c r="D4" s="9">
        <v>44758</v>
      </c>
      <c r="E4" s="10">
        <f t="shared" si="0"/>
        <v>540000</v>
      </c>
      <c r="F4" s="8">
        <v>40000</v>
      </c>
      <c r="G4" s="8">
        <v>5000</v>
      </c>
      <c r="H4" s="11">
        <f t="shared" si="1"/>
        <v>20000</v>
      </c>
      <c r="I4" s="11">
        <f t="shared" si="2"/>
        <v>8000</v>
      </c>
      <c r="J4" s="11">
        <f t="shared" si="3"/>
        <v>12000</v>
      </c>
      <c r="K4" s="11">
        <f t="shared" si="4"/>
        <v>2400</v>
      </c>
      <c r="L4" s="8">
        <v>200</v>
      </c>
      <c r="M4" s="8">
        <f t="shared" si="5"/>
        <v>208</v>
      </c>
      <c r="N4" s="11">
        <v>1</v>
      </c>
      <c r="O4" s="11">
        <f t="shared" si="6"/>
        <v>96.15384615384616</v>
      </c>
      <c r="P4" s="11">
        <f t="shared" si="7"/>
        <v>192.30769230769232</v>
      </c>
      <c r="Q4" s="11">
        <f t="shared" si="8"/>
        <v>192.30769230769232</v>
      </c>
      <c r="R4" s="8">
        <v>41200</v>
      </c>
      <c r="S4" s="11">
        <f t="shared" si="9"/>
        <v>46200</v>
      </c>
      <c r="T4" s="20">
        <f>S4/median_percentile!$B$1</f>
        <v>0.91669394922467928</v>
      </c>
      <c r="U4" s="24" t="str" cm="1">
        <f t="array" ref="U4">_xlfn.IFS(T4&lt;1,"underpaid",T4&gt;1,"overpaid",T4=1,"median pay")</f>
        <v>underpaid</v>
      </c>
      <c r="V4" s="5"/>
    </row>
    <row r="5" spans="1:22" x14ac:dyDescent="0.3">
      <c r="A5" s="22" t="s">
        <v>16</v>
      </c>
      <c r="B5" s="12" t="s">
        <v>1015</v>
      </c>
      <c r="C5" s="12" t="s">
        <v>2014</v>
      </c>
      <c r="D5" s="13">
        <v>45690</v>
      </c>
      <c r="E5" s="14">
        <f t="shared" si="0"/>
        <v>849864</v>
      </c>
      <c r="F5" s="12">
        <v>60525</v>
      </c>
      <c r="G5" s="12">
        <v>10297</v>
      </c>
      <c r="H5" s="15">
        <f t="shared" si="1"/>
        <v>30262.5</v>
      </c>
      <c r="I5" s="15">
        <f t="shared" si="2"/>
        <v>12105</v>
      </c>
      <c r="J5" s="15">
        <f t="shared" si="3"/>
        <v>18157.5</v>
      </c>
      <c r="K5" s="15">
        <f t="shared" si="4"/>
        <v>3631.5</v>
      </c>
      <c r="L5" s="12">
        <v>200</v>
      </c>
      <c r="M5" s="12">
        <f t="shared" si="5"/>
        <v>208</v>
      </c>
      <c r="N5" s="15">
        <v>3</v>
      </c>
      <c r="O5" s="15">
        <f t="shared" si="6"/>
        <v>145.49278846153845</v>
      </c>
      <c r="P5" s="15">
        <f t="shared" si="7"/>
        <v>290.98557692307691</v>
      </c>
      <c r="Q5" s="15">
        <f t="shared" si="8"/>
        <v>872.95673076923072</v>
      </c>
      <c r="R5" s="12">
        <v>66991</v>
      </c>
      <c r="S5" s="15">
        <f t="shared" si="9"/>
        <v>77288</v>
      </c>
      <c r="T5" s="20">
        <f>S5/median_percentile!$B$1</f>
        <v>1.5335377044951735</v>
      </c>
      <c r="U5" s="24" t="str" cm="1">
        <f t="array" ref="U5">_xlfn.IFS(T5&lt;1,"underpaid",T5&gt;1,"overpaid",T5=1,"median pay")</f>
        <v>overpaid</v>
      </c>
      <c r="V5" s="5"/>
    </row>
    <row r="6" spans="1:22" x14ac:dyDescent="0.3">
      <c r="A6" s="21" t="s">
        <v>17</v>
      </c>
      <c r="B6" s="8" t="s">
        <v>1016</v>
      </c>
      <c r="C6" s="8" t="s">
        <v>2014</v>
      </c>
      <c r="D6" s="9">
        <v>43861</v>
      </c>
      <c r="E6" s="10">
        <f t="shared" si="0"/>
        <v>793020</v>
      </c>
      <c r="F6" s="8">
        <v>55647</v>
      </c>
      <c r="G6" s="8">
        <v>10438</v>
      </c>
      <c r="H6" s="11">
        <f t="shared" si="1"/>
        <v>27823.5</v>
      </c>
      <c r="I6" s="11">
        <f t="shared" si="2"/>
        <v>11129.400000000001</v>
      </c>
      <c r="J6" s="11">
        <f t="shared" si="3"/>
        <v>16694.099999999999</v>
      </c>
      <c r="K6" s="11">
        <f t="shared" si="4"/>
        <v>3338.8199999999997</v>
      </c>
      <c r="L6" s="8">
        <v>200</v>
      </c>
      <c r="M6" s="8">
        <f t="shared" si="5"/>
        <v>208</v>
      </c>
      <c r="N6" s="11">
        <v>0</v>
      </c>
      <c r="O6" s="11">
        <f t="shared" si="6"/>
        <v>133.76682692307693</v>
      </c>
      <c r="P6" s="11">
        <f t="shared" si="7"/>
        <v>267.53365384615387</v>
      </c>
      <c r="Q6" s="11">
        <f t="shared" si="8"/>
        <v>0</v>
      </c>
      <c r="R6" s="8">
        <v>62547</v>
      </c>
      <c r="S6" s="11">
        <f t="shared" si="9"/>
        <v>72985</v>
      </c>
      <c r="T6" s="20">
        <f>S6/median_percentile!$B$1</f>
        <v>1.4481581793108922</v>
      </c>
      <c r="U6" s="24" t="str" cm="1">
        <f t="array" ref="U6">_xlfn.IFS(T6&lt;1,"underpaid",T6&gt;1,"overpaid",T6=1,"median pay")</f>
        <v>overpaid</v>
      </c>
      <c r="V6" s="5"/>
    </row>
    <row r="7" spans="1:22" x14ac:dyDescent="0.3">
      <c r="A7" s="22" t="s">
        <v>18</v>
      </c>
      <c r="B7" s="12" t="s">
        <v>1017</v>
      </c>
      <c r="C7" s="12" t="s">
        <v>2015</v>
      </c>
      <c r="D7" s="13">
        <v>44469</v>
      </c>
      <c r="E7" s="14">
        <f t="shared" si="0"/>
        <v>521916</v>
      </c>
      <c r="F7" s="12">
        <v>38057</v>
      </c>
      <c r="G7" s="12">
        <v>5436</v>
      </c>
      <c r="H7" s="15">
        <f t="shared" si="1"/>
        <v>19028.5</v>
      </c>
      <c r="I7" s="15">
        <f t="shared" si="2"/>
        <v>7611.4000000000005</v>
      </c>
      <c r="J7" s="15">
        <f t="shared" si="3"/>
        <v>11417.099999999999</v>
      </c>
      <c r="K7" s="15">
        <f t="shared" si="4"/>
        <v>2283.42</v>
      </c>
      <c r="L7" s="12">
        <v>200</v>
      </c>
      <c r="M7" s="12">
        <f t="shared" si="5"/>
        <v>208</v>
      </c>
      <c r="N7" s="15">
        <v>3</v>
      </c>
      <c r="O7" s="15">
        <f t="shared" si="6"/>
        <v>91.48317307692308</v>
      </c>
      <c r="P7" s="15">
        <f t="shared" si="7"/>
        <v>182.96634615384616</v>
      </c>
      <c r="Q7" s="15">
        <f t="shared" si="8"/>
        <v>548.89903846153845</v>
      </c>
      <c r="R7" s="12">
        <v>41010</v>
      </c>
      <c r="S7" s="15">
        <f t="shared" si="9"/>
        <v>46446</v>
      </c>
      <c r="T7" s="20">
        <f>S7/median_percentile!$B$1</f>
        <v>0.92157504687639513</v>
      </c>
      <c r="U7" s="24" t="str" cm="1">
        <f t="array" ref="U7">_xlfn.IFS(T7&lt;1,"underpaid",T7&gt;1,"overpaid",T7=1,"median pay")</f>
        <v>underpaid</v>
      </c>
      <c r="V7" s="5"/>
    </row>
    <row r="8" spans="1:22" x14ac:dyDescent="0.3">
      <c r="A8" s="21" t="s">
        <v>19</v>
      </c>
      <c r="B8" s="8" t="s">
        <v>1018</v>
      </c>
      <c r="C8" s="8" t="s">
        <v>2013</v>
      </c>
      <c r="D8" s="9">
        <v>44642</v>
      </c>
      <c r="E8" s="10">
        <f t="shared" si="0"/>
        <v>797748</v>
      </c>
      <c r="F8" s="8">
        <v>58897</v>
      </c>
      <c r="G8" s="8">
        <v>7582</v>
      </c>
      <c r="H8" s="11">
        <f t="shared" si="1"/>
        <v>29448.5</v>
      </c>
      <c r="I8" s="11">
        <f t="shared" si="2"/>
        <v>11779.400000000001</v>
      </c>
      <c r="J8" s="11">
        <f t="shared" si="3"/>
        <v>17669.099999999999</v>
      </c>
      <c r="K8" s="11">
        <f t="shared" si="4"/>
        <v>3533.8199999999997</v>
      </c>
      <c r="L8" s="8">
        <v>200</v>
      </c>
      <c r="M8" s="8">
        <f t="shared" si="5"/>
        <v>208</v>
      </c>
      <c r="N8" s="11">
        <v>0</v>
      </c>
      <c r="O8" s="11">
        <f t="shared" si="6"/>
        <v>141.57932692307693</v>
      </c>
      <c r="P8" s="11">
        <f t="shared" si="7"/>
        <v>283.15865384615387</v>
      </c>
      <c r="Q8" s="11">
        <f t="shared" si="8"/>
        <v>0</v>
      </c>
      <c r="R8" s="8">
        <v>63236</v>
      </c>
      <c r="S8" s="11">
        <f t="shared" si="9"/>
        <v>70818</v>
      </c>
      <c r="T8" s="20">
        <f>S8/median_percentile!$B$1</f>
        <v>1.4051608678829728</v>
      </c>
      <c r="U8" s="24" t="str" cm="1">
        <f t="array" ref="U8">_xlfn.IFS(T8&lt;1,"underpaid",T8&gt;1,"overpaid",T8=1,"median pay")</f>
        <v>overpaid</v>
      </c>
      <c r="V8" s="5"/>
    </row>
    <row r="9" spans="1:22" x14ac:dyDescent="0.3">
      <c r="A9" s="22" t="s">
        <v>20</v>
      </c>
      <c r="B9" s="12" t="s">
        <v>1019</v>
      </c>
      <c r="C9" s="12" t="s">
        <v>2013</v>
      </c>
      <c r="D9" s="13">
        <v>45050</v>
      </c>
      <c r="E9" s="14">
        <f t="shared" si="0"/>
        <v>432264</v>
      </c>
      <c r="F9" s="12">
        <v>32376</v>
      </c>
      <c r="G9" s="12">
        <v>3646</v>
      </c>
      <c r="H9" s="15">
        <f t="shared" si="1"/>
        <v>16188</v>
      </c>
      <c r="I9" s="15">
        <f t="shared" si="2"/>
        <v>6475.2000000000007</v>
      </c>
      <c r="J9" s="15">
        <f t="shared" si="3"/>
        <v>9712.7999999999993</v>
      </c>
      <c r="K9" s="15">
        <f t="shared" si="4"/>
        <v>1942.56</v>
      </c>
      <c r="L9" s="12">
        <v>200</v>
      </c>
      <c r="M9" s="12">
        <f t="shared" si="5"/>
        <v>208</v>
      </c>
      <c r="N9" s="15">
        <v>0</v>
      </c>
      <c r="O9" s="15">
        <f t="shared" si="6"/>
        <v>77.82692307692308</v>
      </c>
      <c r="P9" s="15">
        <f t="shared" si="7"/>
        <v>155.65384615384616</v>
      </c>
      <c r="Q9" s="15">
        <f t="shared" si="8"/>
        <v>0</v>
      </c>
      <c r="R9" s="12">
        <v>34149</v>
      </c>
      <c r="S9" s="15">
        <f t="shared" si="9"/>
        <v>37795</v>
      </c>
      <c r="T9" s="20">
        <f>S9/median_percentile!$B$1</f>
        <v>0.74992311279105528</v>
      </c>
      <c r="U9" s="24" t="str" cm="1">
        <f t="array" ref="U9">_xlfn.IFS(T9&lt;1,"underpaid",T9&gt;1,"overpaid",T9=1,"median pay")</f>
        <v>underpaid</v>
      </c>
      <c r="V9" s="5"/>
    </row>
    <row r="10" spans="1:22" x14ac:dyDescent="0.3">
      <c r="A10" s="21" t="s">
        <v>21</v>
      </c>
      <c r="B10" s="8" t="s">
        <v>1020</v>
      </c>
      <c r="C10" s="8" t="s">
        <v>2012</v>
      </c>
      <c r="D10" s="9">
        <v>44811</v>
      </c>
      <c r="E10" s="10">
        <f t="shared" si="0"/>
        <v>370944</v>
      </c>
      <c r="F10" s="8">
        <v>26354</v>
      </c>
      <c r="G10" s="8">
        <v>4558</v>
      </c>
      <c r="H10" s="11">
        <f t="shared" si="1"/>
        <v>13177</v>
      </c>
      <c r="I10" s="11">
        <f t="shared" si="2"/>
        <v>5270.8</v>
      </c>
      <c r="J10" s="11">
        <f t="shared" si="3"/>
        <v>7906.2000000000007</v>
      </c>
      <c r="K10" s="11">
        <f t="shared" si="4"/>
        <v>1581.24</v>
      </c>
      <c r="L10" s="8">
        <v>200</v>
      </c>
      <c r="M10" s="8">
        <f t="shared" si="5"/>
        <v>208</v>
      </c>
      <c r="N10" s="11">
        <v>3</v>
      </c>
      <c r="O10" s="11">
        <f t="shared" si="6"/>
        <v>63.35096153846154</v>
      </c>
      <c r="P10" s="11">
        <f t="shared" si="7"/>
        <v>126.70192307692308</v>
      </c>
      <c r="Q10" s="11">
        <f t="shared" si="8"/>
        <v>380.10576923076923</v>
      </c>
      <c r="R10" s="8">
        <v>29350</v>
      </c>
      <c r="S10" s="11">
        <f t="shared" si="9"/>
        <v>33908</v>
      </c>
      <c r="T10" s="20">
        <f>S10/median_percentile!$B$1</f>
        <v>0.67279780152187074</v>
      </c>
      <c r="U10" s="24" t="str" cm="1">
        <f t="array" ref="U10">_xlfn.IFS(T10&lt;1,"underpaid",T10&gt;1,"overpaid",T10=1,"median pay")</f>
        <v>underpaid</v>
      </c>
      <c r="V10" s="5"/>
    </row>
    <row r="11" spans="1:22" x14ac:dyDescent="0.3">
      <c r="A11" s="22" t="s">
        <v>22</v>
      </c>
      <c r="B11" s="12" t="s">
        <v>1021</v>
      </c>
      <c r="C11" s="12" t="s">
        <v>2014</v>
      </c>
      <c r="D11" s="13">
        <v>45610</v>
      </c>
      <c r="E11" s="14">
        <f t="shared" si="0"/>
        <v>1056084</v>
      </c>
      <c r="F11" s="12">
        <v>76592</v>
      </c>
      <c r="G11" s="12">
        <v>11415</v>
      </c>
      <c r="H11" s="15">
        <f t="shared" si="1"/>
        <v>38296</v>
      </c>
      <c r="I11" s="15">
        <f t="shared" si="2"/>
        <v>15318.400000000001</v>
      </c>
      <c r="J11" s="15">
        <f t="shared" si="3"/>
        <v>22977.599999999999</v>
      </c>
      <c r="K11" s="15">
        <f t="shared" si="4"/>
        <v>4595.5199999999995</v>
      </c>
      <c r="L11" s="12">
        <v>200</v>
      </c>
      <c r="M11" s="12">
        <f t="shared" si="5"/>
        <v>208</v>
      </c>
      <c r="N11" s="15">
        <v>2</v>
      </c>
      <c r="O11" s="15">
        <f t="shared" si="6"/>
        <v>184.11538461538461</v>
      </c>
      <c r="P11" s="15">
        <f t="shared" si="7"/>
        <v>368.23076923076923</v>
      </c>
      <c r="Q11" s="15">
        <f t="shared" si="8"/>
        <v>736.46153846153845</v>
      </c>
      <c r="R11" s="12">
        <v>84488</v>
      </c>
      <c r="S11" s="15">
        <f t="shared" si="9"/>
        <v>95903</v>
      </c>
      <c r="T11" s="20">
        <f>S11/median_percentile!$B$1</f>
        <v>1.9028939353353771</v>
      </c>
      <c r="U11" s="24" t="str" cm="1">
        <f t="array" ref="U11">_xlfn.IFS(T11&lt;1,"underpaid",T11&gt;1,"overpaid",T11=1,"median pay")</f>
        <v>overpaid</v>
      </c>
      <c r="V11" s="5"/>
    </row>
    <row r="12" spans="1:22" x14ac:dyDescent="0.3">
      <c r="A12" s="21" t="s">
        <v>23</v>
      </c>
      <c r="B12" s="8" t="s">
        <v>1022</v>
      </c>
      <c r="C12" s="8" t="s">
        <v>2014</v>
      </c>
      <c r="D12" s="9">
        <v>45637</v>
      </c>
      <c r="E12" s="10">
        <f t="shared" si="0"/>
        <v>1047564</v>
      </c>
      <c r="F12" s="8">
        <v>78989</v>
      </c>
      <c r="G12" s="8">
        <v>8308</v>
      </c>
      <c r="H12" s="11">
        <f t="shared" si="1"/>
        <v>39494.5</v>
      </c>
      <c r="I12" s="11">
        <f t="shared" si="2"/>
        <v>15797.800000000001</v>
      </c>
      <c r="J12" s="11">
        <f t="shared" si="3"/>
        <v>23696.699999999997</v>
      </c>
      <c r="K12" s="11">
        <f t="shared" si="4"/>
        <v>4739.34</v>
      </c>
      <c r="L12" s="8">
        <v>200</v>
      </c>
      <c r="M12" s="8">
        <f t="shared" si="5"/>
        <v>208</v>
      </c>
      <c r="N12" s="11">
        <v>0</v>
      </c>
      <c r="O12" s="11">
        <f t="shared" si="6"/>
        <v>189.87740384615384</v>
      </c>
      <c r="P12" s="11">
        <f t="shared" si="7"/>
        <v>379.75480769230768</v>
      </c>
      <c r="Q12" s="11">
        <f t="shared" si="8"/>
        <v>0</v>
      </c>
      <c r="R12" s="8">
        <v>82358</v>
      </c>
      <c r="S12" s="11">
        <f t="shared" si="9"/>
        <v>90666</v>
      </c>
      <c r="T12" s="20">
        <f>S12/median_percentile!$B$1</f>
        <v>1.798982112562874</v>
      </c>
      <c r="U12" s="24" t="str" cm="1">
        <f t="array" ref="U12">_xlfn.IFS(T12&lt;1,"underpaid",T12&gt;1,"overpaid",T12=1,"median pay")</f>
        <v>overpaid</v>
      </c>
      <c r="V12" s="5"/>
    </row>
    <row r="13" spans="1:22" x14ac:dyDescent="0.3">
      <c r="A13" s="22" t="s">
        <v>24</v>
      </c>
      <c r="B13" s="12" t="s">
        <v>1023</v>
      </c>
      <c r="C13" s="12" t="s">
        <v>2015</v>
      </c>
      <c r="D13" s="13">
        <v>45072</v>
      </c>
      <c r="E13" s="14">
        <f t="shared" si="0"/>
        <v>720240</v>
      </c>
      <c r="F13" s="12">
        <v>54305</v>
      </c>
      <c r="G13" s="12">
        <v>5715</v>
      </c>
      <c r="H13" s="15">
        <f t="shared" si="1"/>
        <v>27152.5</v>
      </c>
      <c r="I13" s="15">
        <f t="shared" si="2"/>
        <v>10861</v>
      </c>
      <c r="J13" s="15">
        <f t="shared" si="3"/>
        <v>16291.5</v>
      </c>
      <c r="K13" s="15">
        <f t="shared" si="4"/>
        <v>3258.2999999999997</v>
      </c>
      <c r="L13" s="12">
        <v>200</v>
      </c>
      <c r="M13" s="12">
        <f t="shared" si="5"/>
        <v>208</v>
      </c>
      <c r="N13" s="15">
        <v>5</v>
      </c>
      <c r="O13" s="15">
        <f t="shared" si="6"/>
        <v>130.54086538461539</v>
      </c>
      <c r="P13" s="15">
        <f t="shared" si="7"/>
        <v>261.08173076923077</v>
      </c>
      <c r="Q13" s="15">
        <f t="shared" si="8"/>
        <v>1305.4086538461538</v>
      </c>
      <c r="R13" s="12">
        <v>56562</v>
      </c>
      <c r="S13" s="15">
        <f t="shared" si="9"/>
        <v>62277</v>
      </c>
      <c r="T13" s="20">
        <f>S13/median_percentile!$B$1</f>
        <v>1.235691538438644</v>
      </c>
      <c r="U13" s="24" t="str" cm="1">
        <f t="array" ref="U13">_xlfn.IFS(T13&lt;1,"underpaid",T13&gt;1,"overpaid",T13=1,"median pay")</f>
        <v>overpaid</v>
      </c>
      <c r="V13" s="5"/>
    </row>
    <row r="14" spans="1:22" x14ac:dyDescent="0.3">
      <c r="A14" s="21" t="s">
        <v>25</v>
      </c>
      <c r="B14" s="8" t="s">
        <v>1024</v>
      </c>
      <c r="C14" s="8" t="s">
        <v>2015</v>
      </c>
      <c r="D14" s="9">
        <v>43684</v>
      </c>
      <c r="E14" s="10">
        <f t="shared" si="0"/>
        <v>612780</v>
      </c>
      <c r="F14" s="8">
        <v>43856</v>
      </c>
      <c r="G14" s="8">
        <v>7209</v>
      </c>
      <c r="H14" s="11">
        <f t="shared" si="1"/>
        <v>21928</v>
      </c>
      <c r="I14" s="11">
        <f t="shared" si="2"/>
        <v>8771.2000000000007</v>
      </c>
      <c r="J14" s="11">
        <f t="shared" si="3"/>
        <v>13156.8</v>
      </c>
      <c r="K14" s="11">
        <f t="shared" si="4"/>
        <v>2631.36</v>
      </c>
      <c r="L14" s="8">
        <v>200</v>
      </c>
      <c r="M14" s="8">
        <f t="shared" si="5"/>
        <v>208</v>
      </c>
      <c r="N14" s="11">
        <v>0</v>
      </c>
      <c r="O14" s="11">
        <f t="shared" si="6"/>
        <v>105.42307692307692</v>
      </c>
      <c r="P14" s="11">
        <f t="shared" si="7"/>
        <v>210.84615384615384</v>
      </c>
      <c r="Q14" s="11">
        <f t="shared" si="8"/>
        <v>0</v>
      </c>
      <c r="R14" s="8">
        <v>48234</v>
      </c>
      <c r="S14" s="11">
        <f t="shared" si="9"/>
        <v>55443</v>
      </c>
      <c r="T14" s="20">
        <f>S14/median_percentile!$B$1</f>
        <v>1.1000922646507336</v>
      </c>
      <c r="U14" s="24" t="str" cm="1">
        <f t="array" ref="U14">_xlfn.IFS(T14&lt;1,"underpaid",T14&gt;1,"overpaid",T14=1,"median pay")</f>
        <v>overpaid</v>
      </c>
      <c r="V14" s="5"/>
    </row>
    <row r="15" spans="1:22" x14ac:dyDescent="0.3">
      <c r="A15" s="22" t="s">
        <v>26</v>
      </c>
      <c r="B15" s="12" t="s">
        <v>1025</v>
      </c>
      <c r="C15" s="12" t="s">
        <v>2014</v>
      </c>
      <c r="D15" s="13">
        <v>44232</v>
      </c>
      <c r="E15" s="14">
        <f t="shared" si="0"/>
        <v>1125840</v>
      </c>
      <c r="F15" s="12">
        <v>78309</v>
      </c>
      <c r="G15" s="12">
        <v>15511</v>
      </c>
      <c r="H15" s="15">
        <f t="shared" si="1"/>
        <v>39154.5</v>
      </c>
      <c r="I15" s="15">
        <f t="shared" si="2"/>
        <v>15661.800000000001</v>
      </c>
      <c r="J15" s="15">
        <f t="shared" si="3"/>
        <v>23492.699999999997</v>
      </c>
      <c r="K15" s="15">
        <f t="shared" si="4"/>
        <v>4698.54</v>
      </c>
      <c r="L15" s="12">
        <v>200</v>
      </c>
      <c r="M15" s="12">
        <f t="shared" si="5"/>
        <v>208</v>
      </c>
      <c r="N15" s="15">
        <v>3</v>
      </c>
      <c r="O15" s="15">
        <f t="shared" si="6"/>
        <v>188.24278846153845</v>
      </c>
      <c r="P15" s="15">
        <f t="shared" si="7"/>
        <v>376.48557692307691</v>
      </c>
      <c r="Q15" s="15">
        <f t="shared" si="8"/>
        <v>1129.4567307692307</v>
      </c>
      <c r="R15" s="12">
        <v>88922</v>
      </c>
      <c r="S15" s="15">
        <f t="shared" si="9"/>
        <v>104433</v>
      </c>
      <c r="T15" s="20">
        <f>S15/median_percentile!$B$1</f>
        <v>2.0721450043156047</v>
      </c>
      <c r="U15" s="24" t="str" cm="1">
        <f t="array" ref="U15">_xlfn.IFS(T15&lt;1,"underpaid",T15&gt;1,"overpaid",T15=1,"median pay")</f>
        <v>overpaid</v>
      </c>
      <c r="V15" s="5"/>
    </row>
    <row r="16" spans="1:22" x14ac:dyDescent="0.3">
      <c r="A16" s="21" t="s">
        <v>27</v>
      </c>
      <c r="B16" s="8" t="s">
        <v>1026</v>
      </c>
      <c r="C16" s="8" t="s">
        <v>2014</v>
      </c>
      <c r="D16" s="9">
        <v>45787</v>
      </c>
      <c r="E16" s="10">
        <f t="shared" si="0"/>
        <v>748080</v>
      </c>
      <c r="F16" s="8">
        <v>54953</v>
      </c>
      <c r="G16" s="8">
        <v>7387</v>
      </c>
      <c r="H16" s="11">
        <f t="shared" si="1"/>
        <v>27476.5</v>
      </c>
      <c r="I16" s="11">
        <f t="shared" si="2"/>
        <v>10990.6</v>
      </c>
      <c r="J16" s="11">
        <f t="shared" si="3"/>
        <v>16485.900000000001</v>
      </c>
      <c r="K16" s="11">
        <f t="shared" si="4"/>
        <v>3297.18</v>
      </c>
      <c r="L16" s="8">
        <v>200</v>
      </c>
      <c r="M16" s="8">
        <f t="shared" si="5"/>
        <v>208</v>
      </c>
      <c r="N16" s="11">
        <v>3</v>
      </c>
      <c r="O16" s="11">
        <f t="shared" si="6"/>
        <v>132.09855769230768</v>
      </c>
      <c r="P16" s="11">
        <f t="shared" si="7"/>
        <v>264.19711538461536</v>
      </c>
      <c r="Q16" s="11">
        <f t="shared" si="8"/>
        <v>792.59134615384608</v>
      </c>
      <c r="R16" s="8">
        <v>58843</v>
      </c>
      <c r="S16" s="11">
        <f t="shared" si="9"/>
        <v>66230</v>
      </c>
      <c r="T16" s="20">
        <f>S16/median_percentile!$B$1</f>
        <v>1.3141264124924352</v>
      </c>
      <c r="U16" s="24" t="str" cm="1">
        <f t="array" ref="U16">_xlfn.IFS(T16&lt;1,"underpaid",T16&gt;1,"overpaid",T16=1,"median pay")</f>
        <v>overpaid</v>
      </c>
      <c r="V16" s="5"/>
    </row>
    <row r="17" spans="1:22" x14ac:dyDescent="0.3">
      <c r="A17" s="22" t="s">
        <v>28</v>
      </c>
      <c r="B17" s="12" t="s">
        <v>1027</v>
      </c>
      <c r="C17" s="12" t="s">
        <v>2015</v>
      </c>
      <c r="D17" s="13">
        <v>43817</v>
      </c>
      <c r="E17" s="14">
        <f t="shared" si="0"/>
        <v>589308</v>
      </c>
      <c r="F17" s="12">
        <v>44298</v>
      </c>
      <c r="G17" s="12">
        <v>4811</v>
      </c>
      <c r="H17" s="15">
        <f t="shared" si="1"/>
        <v>22149</v>
      </c>
      <c r="I17" s="15">
        <f t="shared" si="2"/>
        <v>8859.6</v>
      </c>
      <c r="J17" s="15">
        <f t="shared" si="3"/>
        <v>13289.400000000001</v>
      </c>
      <c r="K17" s="15">
        <f t="shared" si="4"/>
        <v>2657.88</v>
      </c>
      <c r="L17" s="12">
        <v>200</v>
      </c>
      <c r="M17" s="12">
        <f t="shared" si="5"/>
        <v>208</v>
      </c>
      <c r="N17" s="15">
        <v>4</v>
      </c>
      <c r="O17" s="15">
        <f t="shared" si="6"/>
        <v>106.48557692307692</v>
      </c>
      <c r="P17" s="15">
        <f t="shared" si="7"/>
        <v>212.97115384615384</v>
      </c>
      <c r="Q17" s="15">
        <f t="shared" si="8"/>
        <v>851.88461538461536</v>
      </c>
      <c r="R17" s="12">
        <v>46252</v>
      </c>
      <c r="S17" s="15">
        <f t="shared" si="9"/>
        <v>51063</v>
      </c>
      <c r="T17" s="20">
        <f>S17/median_percentile!$B$1</f>
        <v>1.0131849162177446</v>
      </c>
      <c r="U17" s="24" t="str" cm="1">
        <f t="array" ref="U17">_xlfn.IFS(T17&lt;1,"underpaid",T17&gt;1,"overpaid",T17=1,"median pay")</f>
        <v>overpaid</v>
      </c>
      <c r="V17" s="5"/>
    </row>
    <row r="18" spans="1:22" x14ac:dyDescent="0.3">
      <c r="A18" s="21" t="s">
        <v>29</v>
      </c>
      <c r="B18" s="8" t="s">
        <v>1028</v>
      </c>
      <c r="C18" s="8" t="s">
        <v>2015</v>
      </c>
      <c r="D18" s="9">
        <v>44176</v>
      </c>
      <c r="E18" s="10">
        <f t="shared" si="0"/>
        <v>546780</v>
      </c>
      <c r="F18" s="8">
        <v>38890</v>
      </c>
      <c r="G18" s="8">
        <v>6675</v>
      </c>
      <c r="H18" s="11">
        <f t="shared" si="1"/>
        <v>19445</v>
      </c>
      <c r="I18" s="11">
        <f t="shared" si="2"/>
        <v>7778</v>
      </c>
      <c r="J18" s="11">
        <f t="shared" si="3"/>
        <v>11667</v>
      </c>
      <c r="K18" s="11">
        <f t="shared" si="4"/>
        <v>2333.4</v>
      </c>
      <c r="L18" s="8">
        <v>200</v>
      </c>
      <c r="M18" s="8">
        <f t="shared" si="5"/>
        <v>208</v>
      </c>
      <c r="N18" s="11">
        <v>2</v>
      </c>
      <c r="O18" s="11">
        <f t="shared" si="6"/>
        <v>93.48557692307692</v>
      </c>
      <c r="P18" s="11">
        <f t="shared" si="7"/>
        <v>186.97115384615384</v>
      </c>
      <c r="Q18" s="11">
        <f t="shared" si="8"/>
        <v>373.94230769230768</v>
      </c>
      <c r="R18" s="8">
        <v>43680</v>
      </c>
      <c r="S18" s="11">
        <f t="shared" si="9"/>
        <v>50355</v>
      </c>
      <c r="T18" s="20">
        <f>S18/median_percentile!$B$1</f>
        <v>0.9991368790737819</v>
      </c>
      <c r="U18" s="24" t="str" cm="1">
        <f t="array" ref="U18">_xlfn.IFS(T18&lt;1,"underpaid",T18&gt;1,"overpaid",T18=1,"median pay")</f>
        <v>underpaid</v>
      </c>
      <c r="V18" s="5"/>
    </row>
    <row r="19" spans="1:22" x14ac:dyDescent="0.3">
      <c r="A19" s="22" t="s">
        <v>30</v>
      </c>
      <c r="B19" s="12" t="s">
        <v>1029</v>
      </c>
      <c r="C19" s="12" t="s">
        <v>2015</v>
      </c>
      <c r="D19" s="13">
        <v>44524</v>
      </c>
      <c r="E19" s="14">
        <f t="shared" si="0"/>
        <v>606624</v>
      </c>
      <c r="F19" s="12">
        <v>44761</v>
      </c>
      <c r="G19" s="12">
        <v>5791</v>
      </c>
      <c r="H19" s="15">
        <f t="shared" si="1"/>
        <v>22380.5</v>
      </c>
      <c r="I19" s="15">
        <f t="shared" si="2"/>
        <v>8952.2000000000007</v>
      </c>
      <c r="J19" s="15">
        <f t="shared" si="3"/>
        <v>13428.3</v>
      </c>
      <c r="K19" s="15">
        <f t="shared" si="4"/>
        <v>2685.66</v>
      </c>
      <c r="L19" s="12">
        <v>200</v>
      </c>
      <c r="M19" s="12">
        <f t="shared" si="5"/>
        <v>208</v>
      </c>
      <c r="N19" s="15">
        <v>0</v>
      </c>
      <c r="O19" s="15">
        <f t="shared" si="6"/>
        <v>107.59855769230769</v>
      </c>
      <c r="P19" s="15">
        <f t="shared" si="7"/>
        <v>215.19711538461539</v>
      </c>
      <c r="Q19" s="15">
        <f t="shared" si="8"/>
        <v>0</v>
      </c>
      <c r="R19" s="12">
        <v>48040</v>
      </c>
      <c r="S19" s="15">
        <f t="shared" si="9"/>
        <v>53831</v>
      </c>
      <c r="T19" s="20">
        <f>S19/median_percentile!$B$1</f>
        <v>1.068107185729734</v>
      </c>
      <c r="U19" s="24" t="str" cm="1">
        <f t="array" ref="U19">_xlfn.IFS(T19&lt;1,"underpaid",T19&gt;1,"overpaid",T19=1,"median pay")</f>
        <v>overpaid</v>
      </c>
      <c r="V19" s="5"/>
    </row>
    <row r="20" spans="1:22" x14ac:dyDescent="0.3">
      <c r="A20" s="21" t="s">
        <v>31</v>
      </c>
      <c r="B20" s="8" t="s">
        <v>1030</v>
      </c>
      <c r="C20" s="8" t="s">
        <v>2016</v>
      </c>
      <c r="D20" s="9">
        <v>45177</v>
      </c>
      <c r="E20" s="10">
        <f t="shared" si="0"/>
        <v>670548</v>
      </c>
      <c r="F20" s="8">
        <v>48862</v>
      </c>
      <c r="G20" s="8">
        <v>7017</v>
      </c>
      <c r="H20" s="11">
        <f t="shared" si="1"/>
        <v>24431</v>
      </c>
      <c r="I20" s="11">
        <f t="shared" si="2"/>
        <v>9772.4</v>
      </c>
      <c r="J20" s="11">
        <f t="shared" si="3"/>
        <v>14658.599999999999</v>
      </c>
      <c r="K20" s="11">
        <f t="shared" si="4"/>
        <v>2931.72</v>
      </c>
      <c r="L20" s="8">
        <v>200</v>
      </c>
      <c r="M20" s="8">
        <f t="shared" si="5"/>
        <v>208</v>
      </c>
      <c r="N20" s="11">
        <v>4</v>
      </c>
      <c r="O20" s="11">
        <f t="shared" si="6"/>
        <v>117.45673076923077</v>
      </c>
      <c r="P20" s="11">
        <f t="shared" si="7"/>
        <v>234.91346153846155</v>
      </c>
      <c r="Q20" s="11">
        <f t="shared" si="8"/>
        <v>939.65384615384619</v>
      </c>
      <c r="R20" s="8">
        <v>52748</v>
      </c>
      <c r="S20" s="11">
        <f t="shared" si="9"/>
        <v>59765</v>
      </c>
      <c r="T20" s="20">
        <f>S20/median_percentile!$B$1</f>
        <v>1.1858487851820987</v>
      </c>
      <c r="U20" s="24" t="str" cm="1">
        <f t="array" ref="U20">_xlfn.IFS(T20&lt;1,"underpaid",T20&gt;1,"overpaid",T20=1,"median pay")</f>
        <v>overpaid</v>
      </c>
      <c r="V20" s="5"/>
    </row>
    <row r="21" spans="1:22" x14ac:dyDescent="0.3">
      <c r="A21" s="22" t="s">
        <v>32</v>
      </c>
      <c r="B21" s="12" t="s">
        <v>1031</v>
      </c>
      <c r="C21" s="12" t="s">
        <v>2015</v>
      </c>
      <c r="D21" s="13">
        <v>44615</v>
      </c>
      <c r="E21" s="14">
        <f t="shared" si="0"/>
        <v>357600</v>
      </c>
      <c r="F21" s="12">
        <v>25599</v>
      </c>
      <c r="G21" s="12">
        <v>4201</v>
      </c>
      <c r="H21" s="15">
        <f t="shared" si="1"/>
        <v>12799.5</v>
      </c>
      <c r="I21" s="15">
        <f t="shared" si="2"/>
        <v>5119.8</v>
      </c>
      <c r="J21" s="15">
        <f t="shared" si="3"/>
        <v>7679.7000000000007</v>
      </c>
      <c r="K21" s="15">
        <f t="shared" si="4"/>
        <v>1535.94</v>
      </c>
      <c r="L21" s="12">
        <v>200</v>
      </c>
      <c r="M21" s="12">
        <f t="shared" si="5"/>
        <v>208</v>
      </c>
      <c r="N21" s="15">
        <v>5</v>
      </c>
      <c r="O21" s="15">
        <f t="shared" si="6"/>
        <v>61.536057692307693</v>
      </c>
      <c r="P21" s="15">
        <f t="shared" si="7"/>
        <v>123.07211538461539</v>
      </c>
      <c r="Q21" s="15">
        <f t="shared" si="8"/>
        <v>615.36057692307691</v>
      </c>
      <c r="R21" s="12">
        <v>28278</v>
      </c>
      <c r="S21" s="15">
        <f t="shared" si="9"/>
        <v>32479</v>
      </c>
      <c r="T21" s="20">
        <f>S21/median_percentile!$B$1</f>
        <v>0.64444378304909866</v>
      </c>
      <c r="U21" s="24" t="str" cm="1">
        <f t="array" ref="U21">_xlfn.IFS(T21&lt;1,"underpaid",T21&gt;1,"overpaid",T21=1,"median pay")</f>
        <v>underpaid</v>
      </c>
      <c r="V21" s="5"/>
    </row>
    <row r="22" spans="1:22" x14ac:dyDescent="0.3">
      <c r="A22" s="21" t="s">
        <v>33</v>
      </c>
      <c r="B22" s="8" t="s">
        <v>1032</v>
      </c>
      <c r="C22" s="8" t="s">
        <v>2015</v>
      </c>
      <c r="D22" s="9">
        <v>44641</v>
      </c>
      <c r="E22" s="10">
        <f t="shared" si="0"/>
        <v>654456</v>
      </c>
      <c r="F22" s="8">
        <v>46333</v>
      </c>
      <c r="G22" s="8">
        <v>8205</v>
      </c>
      <c r="H22" s="11">
        <f t="shared" si="1"/>
        <v>23166.5</v>
      </c>
      <c r="I22" s="11">
        <f t="shared" si="2"/>
        <v>9266.6</v>
      </c>
      <c r="J22" s="11">
        <f t="shared" si="3"/>
        <v>13899.900000000001</v>
      </c>
      <c r="K22" s="11">
        <f t="shared" si="4"/>
        <v>2779.98</v>
      </c>
      <c r="L22" s="8">
        <v>200</v>
      </c>
      <c r="M22" s="8">
        <f t="shared" si="5"/>
        <v>208</v>
      </c>
      <c r="N22" s="11">
        <v>0</v>
      </c>
      <c r="O22" s="11">
        <f t="shared" si="6"/>
        <v>111.37740384615384</v>
      </c>
      <c r="P22" s="11">
        <f t="shared" si="7"/>
        <v>222.75480769230768</v>
      </c>
      <c r="Q22" s="11">
        <f t="shared" si="8"/>
        <v>0</v>
      </c>
      <c r="R22" s="8">
        <v>51559</v>
      </c>
      <c r="S22" s="11">
        <f t="shared" si="9"/>
        <v>59764</v>
      </c>
      <c r="T22" s="20">
        <f>S22/median_percentile!$B$1</f>
        <v>1.1858289433217259</v>
      </c>
      <c r="U22" s="24" t="str" cm="1">
        <f t="array" ref="U22">_xlfn.IFS(T22&lt;1,"underpaid",T22&gt;1,"overpaid",T22=1,"median pay")</f>
        <v>overpaid</v>
      </c>
      <c r="V22" s="5"/>
    </row>
    <row r="23" spans="1:22" x14ac:dyDescent="0.3">
      <c r="A23" s="22" t="s">
        <v>34</v>
      </c>
      <c r="B23" s="12" t="s">
        <v>1033</v>
      </c>
      <c r="C23" s="12" t="s">
        <v>2016</v>
      </c>
      <c r="D23" s="13">
        <v>45140</v>
      </c>
      <c r="E23" s="14">
        <f t="shared" si="0"/>
        <v>530556</v>
      </c>
      <c r="F23" s="12">
        <v>37752</v>
      </c>
      <c r="G23" s="12">
        <v>6461</v>
      </c>
      <c r="H23" s="15">
        <f t="shared" si="1"/>
        <v>18876</v>
      </c>
      <c r="I23" s="15">
        <f t="shared" si="2"/>
        <v>7550.4000000000005</v>
      </c>
      <c r="J23" s="15">
        <f t="shared" si="3"/>
        <v>11325.599999999999</v>
      </c>
      <c r="K23" s="15">
        <f t="shared" si="4"/>
        <v>2265.12</v>
      </c>
      <c r="L23" s="12">
        <v>200</v>
      </c>
      <c r="M23" s="12">
        <f t="shared" si="5"/>
        <v>208</v>
      </c>
      <c r="N23" s="15">
        <v>5</v>
      </c>
      <c r="O23" s="15">
        <f t="shared" si="6"/>
        <v>90.75</v>
      </c>
      <c r="P23" s="15">
        <f t="shared" si="7"/>
        <v>181.5</v>
      </c>
      <c r="Q23" s="15">
        <f t="shared" si="8"/>
        <v>907.5</v>
      </c>
      <c r="R23" s="12">
        <v>42377</v>
      </c>
      <c r="S23" s="15">
        <f t="shared" si="9"/>
        <v>48838</v>
      </c>
      <c r="T23" s="20">
        <f>S23/median_percentile!$B$1</f>
        <v>0.969036776888201</v>
      </c>
      <c r="U23" s="24" t="str" cm="1">
        <f t="array" ref="U23">_xlfn.IFS(T23&lt;1,"underpaid",T23&gt;1,"overpaid",T23=1,"median pay")</f>
        <v>underpaid</v>
      </c>
      <c r="V23" s="5"/>
    </row>
    <row r="24" spans="1:22" x14ac:dyDescent="0.3">
      <c r="A24" s="21" t="s">
        <v>35</v>
      </c>
      <c r="B24" s="8" t="s">
        <v>1034</v>
      </c>
      <c r="C24" s="8" t="s">
        <v>2014</v>
      </c>
      <c r="D24" s="9">
        <v>43763</v>
      </c>
      <c r="E24" s="10">
        <f t="shared" si="0"/>
        <v>466908</v>
      </c>
      <c r="F24" s="8">
        <v>35103</v>
      </c>
      <c r="G24" s="8">
        <v>3806</v>
      </c>
      <c r="H24" s="11">
        <f t="shared" si="1"/>
        <v>17551.5</v>
      </c>
      <c r="I24" s="11">
        <f t="shared" si="2"/>
        <v>7020.6</v>
      </c>
      <c r="J24" s="11">
        <f t="shared" si="3"/>
        <v>10530.900000000001</v>
      </c>
      <c r="K24" s="11">
        <f t="shared" si="4"/>
        <v>2106.1799999999998</v>
      </c>
      <c r="L24" s="8">
        <v>200</v>
      </c>
      <c r="M24" s="8">
        <f t="shared" si="5"/>
        <v>208</v>
      </c>
      <c r="N24" s="11">
        <v>4</v>
      </c>
      <c r="O24" s="11">
        <f t="shared" si="6"/>
        <v>84.382211538461533</v>
      </c>
      <c r="P24" s="11">
        <f t="shared" si="7"/>
        <v>168.76442307692307</v>
      </c>
      <c r="Q24" s="11">
        <f t="shared" si="8"/>
        <v>675.05769230769226</v>
      </c>
      <c r="R24" s="8">
        <v>37188</v>
      </c>
      <c r="S24" s="11">
        <f t="shared" si="9"/>
        <v>40994</v>
      </c>
      <c r="T24" s="20">
        <f>S24/median_percentile!$B$1</f>
        <v>0.81339722412373383</v>
      </c>
      <c r="U24" s="24" t="str" cm="1">
        <f t="array" ref="U24">_xlfn.IFS(T24&lt;1,"underpaid",T24&gt;1,"overpaid",T24=1,"median pay")</f>
        <v>underpaid</v>
      </c>
      <c r="V24" s="5"/>
    </row>
    <row r="25" spans="1:22" x14ac:dyDescent="0.3">
      <c r="A25" s="22" t="s">
        <v>36</v>
      </c>
      <c r="B25" s="12" t="s">
        <v>1035</v>
      </c>
      <c r="C25" s="12" t="s">
        <v>2012</v>
      </c>
      <c r="D25" s="13">
        <v>45603</v>
      </c>
      <c r="E25" s="14">
        <f t="shared" si="0"/>
        <v>479076</v>
      </c>
      <c r="F25" s="12">
        <v>34532</v>
      </c>
      <c r="G25" s="12">
        <v>5391</v>
      </c>
      <c r="H25" s="15">
        <f t="shared" si="1"/>
        <v>17266</v>
      </c>
      <c r="I25" s="15">
        <f t="shared" si="2"/>
        <v>6906.4000000000005</v>
      </c>
      <c r="J25" s="15">
        <f t="shared" si="3"/>
        <v>10359.599999999999</v>
      </c>
      <c r="K25" s="15">
        <f t="shared" si="4"/>
        <v>2071.92</v>
      </c>
      <c r="L25" s="12">
        <v>200</v>
      </c>
      <c r="M25" s="12">
        <f t="shared" si="5"/>
        <v>208</v>
      </c>
      <c r="N25" s="15">
        <v>4</v>
      </c>
      <c r="O25" s="15">
        <f t="shared" si="6"/>
        <v>83.009615384615387</v>
      </c>
      <c r="P25" s="15">
        <f t="shared" si="7"/>
        <v>166.01923076923077</v>
      </c>
      <c r="Q25" s="15">
        <f t="shared" si="8"/>
        <v>664.07692307692309</v>
      </c>
      <c r="R25" s="12">
        <v>37652</v>
      </c>
      <c r="S25" s="15">
        <f t="shared" si="9"/>
        <v>43043</v>
      </c>
      <c r="T25" s="20">
        <f>S25/median_percentile!$B$1</f>
        <v>0.8540531960276595</v>
      </c>
      <c r="U25" s="24" t="str" cm="1">
        <f t="array" ref="U25">_xlfn.IFS(T25&lt;1,"underpaid",T25&gt;1,"overpaid",T25=1,"median pay")</f>
        <v>underpaid</v>
      </c>
      <c r="V25" s="5"/>
    </row>
    <row r="26" spans="1:22" x14ac:dyDescent="0.3">
      <c r="A26" s="21" t="s">
        <v>37</v>
      </c>
      <c r="B26" s="8" t="s">
        <v>1036</v>
      </c>
      <c r="C26" s="8" t="s">
        <v>2016</v>
      </c>
      <c r="D26" s="9">
        <v>43944</v>
      </c>
      <c r="E26" s="10">
        <f t="shared" si="0"/>
        <v>477720</v>
      </c>
      <c r="F26" s="8">
        <v>35886</v>
      </c>
      <c r="G26" s="8">
        <v>3924</v>
      </c>
      <c r="H26" s="11">
        <f t="shared" si="1"/>
        <v>17943</v>
      </c>
      <c r="I26" s="11">
        <f t="shared" si="2"/>
        <v>7177.2000000000007</v>
      </c>
      <c r="J26" s="11">
        <f t="shared" si="3"/>
        <v>10765.8</v>
      </c>
      <c r="K26" s="11">
        <f t="shared" si="4"/>
        <v>2153.16</v>
      </c>
      <c r="L26" s="8">
        <v>200</v>
      </c>
      <c r="M26" s="8">
        <f t="shared" si="5"/>
        <v>208</v>
      </c>
      <c r="N26" s="11">
        <v>4</v>
      </c>
      <c r="O26" s="11">
        <f t="shared" si="6"/>
        <v>86.26442307692308</v>
      </c>
      <c r="P26" s="11">
        <f t="shared" si="7"/>
        <v>172.52884615384616</v>
      </c>
      <c r="Q26" s="11">
        <f t="shared" si="8"/>
        <v>690.11538461538464</v>
      </c>
      <c r="R26" s="8">
        <v>37756</v>
      </c>
      <c r="S26" s="11">
        <f t="shared" si="9"/>
        <v>41680</v>
      </c>
      <c r="T26" s="20">
        <f>S26/median_percentile!$B$1</f>
        <v>0.82700874033949423</v>
      </c>
      <c r="U26" s="24" t="str" cm="1">
        <f t="array" ref="U26">_xlfn.IFS(T26&lt;1,"underpaid",T26&gt;1,"overpaid",T26=1,"median pay")</f>
        <v>underpaid</v>
      </c>
      <c r="V26" s="5"/>
    </row>
    <row r="27" spans="1:22" x14ac:dyDescent="0.3">
      <c r="A27" s="22" t="s">
        <v>38</v>
      </c>
      <c r="B27" s="12" t="s">
        <v>1037</v>
      </c>
      <c r="C27" s="12" t="s">
        <v>2013</v>
      </c>
      <c r="D27" s="13">
        <v>45852</v>
      </c>
      <c r="E27" s="14">
        <f t="shared" si="0"/>
        <v>596148</v>
      </c>
      <c r="F27" s="12">
        <v>43389</v>
      </c>
      <c r="G27" s="12">
        <v>6290</v>
      </c>
      <c r="H27" s="15">
        <f t="shared" si="1"/>
        <v>21694.5</v>
      </c>
      <c r="I27" s="15">
        <f t="shared" si="2"/>
        <v>8677.8000000000011</v>
      </c>
      <c r="J27" s="15">
        <f t="shared" si="3"/>
        <v>13016.699999999997</v>
      </c>
      <c r="K27" s="15">
        <f t="shared" si="4"/>
        <v>2603.3399999999997</v>
      </c>
      <c r="L27" s="12">
        <v>200</v>
      </c>
      <c r="M27" s="12">
        <f t="shared" si="5"/>
        <v>208</v>
      </c>
      <c r="N27" s="15">
        <v>5</v>
      </c>
      <c r="O27" s="15">
        <f t="shared" si="6"/>
        <v>104.30048076923077</v>
      </c>
      <c r="P27" s="15">
        <f t="shared" si="7"/>
        <v>208.60096153846155</v>
      </c>
      <c r="Q27" s="15">
        <f t="shared" si="8"/>
        <v>1043.0048076923076</v>
      </c>
      <c r="R27" s="12">
        <v>46876</v>
      </c>
      <c r="S27" s="15">
        <f t="shared" si="9"/>
        <v>53166</v>
      </c>
      <c r="T27" s="20">
        <f>S27/median_percentile!$B$1</f>
        <v>1.054912348581803</v>
      </c>
      <c r="U27" s="24" t="str" cm="1">
        <f t="array" ref="U27">_xlfn.IFS(T27&lt;1,"underpaid",T27&gt;1,"overpaid",T27=1,"median pay")</f>
        <v>overpaid</v>
      </c>
      <c r="V27" s="5"/>
    </row>
    <row r="28" spans="1:22" x14ac:dyDescent="0.3">
      <c r="A28" s="21" t="s">
        <v>39</v>
      </c>
      <c r="B28" s="8" t="s">
        <v>1038</v>
      </c>
      <c r="C28" s="8" t="s">
        <v>2011</v>
      </c>
      <c r="D28" s="9">
        <v>43493</v>
      </c>
      <c r="E28" s="10">
        <f t="shared" si="0"/>
        <v>515760</v>
      </c>
      <c r="F28" s="8">
        <v>38042</v>
      </c>
      <c r="G28" s="8">
        <v>4938</v>
      </c>
      <c r="H28" s="11">
        <f t="shared" si="1"/>
        <v>19021</v>
      </c>
      <c r="I28" s="11">
        <f t="shared" si="2"/>
        <v>7608.4000000000005</v>
      </c>
      <c r="J28" s="11">
        <f t="shared" si="3"/>
        <v>11412.599999999999</v>
      </c>
      <c r="K28" s="11">
        <f t="shared" si="4"/>
        <v>2282.52</v>
      </c>
      <c r="L28" s="8">
        <v>200</v>
      </c>
      <c r="M28" s="8">
        <f t="shared" si="5"/>
        <v>208</v>
      </c>
      <c r="N28" s="11">
        <v>2</v>
      </c>
      <c r="O28" s="11">
        <f t="shared" si="6"/>
        <v>91.447115384615387</v>
      </c>
      <c r="P28" s="11">
        <f t="shared" si="7"/>
        <v>182.89423076923077</v>
      </c>
      <c r="Q28" s="11">
        <f t="shared" si="8"/>
        <v>365.78846153846155</v>
      </c>
      <c r="R28" s="8">
        <v>40815</v>
      </c>
      <c r="S28" s="11">
        <f t="shared" si="9"/>
        <v>45753</v>
      </c>
      <c r="T28" s="20">
        <f>S28/median_percentile!$B$1</f>
        <v>0.9078246376380249</v>
      </c>
      <c r="U28" s="24" t="str" cm="1">
        <f t="array" ref="U28">_xlfn.IFS(T28&lt;1,"underpaid",T28&gt;1,"overpaid",T28=1,"median pay")</f>
        <v>underpaid</v>
      </c>
      <c r="V28" s="5"/>
    </row>
    <row r="29" spans="1:22" x14ac:dyDescent="0.3">
      <c r="A29" s="22" t="s">
        <v>40</v>
      </c>
      <c r="B29" s="12" t="s">
        <v>1039</v>
      </c>
      <c r="C29" s="12" t="s">
        <v>2015</v>
      </c>
      <c r="D29" s="13">
        <v>44445</v>
      </c>
      <c r="E29" s="14">
        <f t="shared" si="0"/>
        <v>656724</v>
      </c>
      <c r="F29" s="12">
        <v>47064</v>
      </c>
      <c r="G29" s="12">
        <v>7663</v>
      </c>
      <c r="H29" s="15">
        <f t="shared" si="1"/>
        <v>23532</v>
      </c>
      <c r="I29" s="15">
        <f t="shared" si="2"/>
        <v>9412.8000000000011</v>
      </c>
      <c r="J29" s="15">
        <f t="shared" si="3"/>
        <v>14119.199999999997</v>
      </c>
      <c r="K29" s="15">
        <f t="shared" si="4"/>
        <v>2823.8399999999997</v>
      </c>
      <c r="L29" s="12">
        <v>200</v>
      </c>
      <c r="M29" s="12">
        <f t="shared" si="5"/>
        <v>208</v>
      </c>
      <c r="N29" s="15">
        <v>1</v>
      </c>
      <c r="O29" s="15">
        <f t="shared" si="6"/>
        <v>113.13461538461539</v>
      </c>
      <c r="P29" s="15">
        <f t="shared" si="7"/>
        <v>226.26923076923077</v>
      </c>
      <c r="Q29" s="15">
        <f t="shared" si="8"/>
        <v>226.26923076923077</v>
      </c>
      <c r="R29" s="12">
        <v>52096</v>
      </c>
      <c r="S29" s="15">
        <f t="shared" si="9"/>
        <v>59759</v>
      </c>
      <c r="T29" s="20">
        <f>S29/median_percentile!$B$1</f>
        <v>1.1857297340198616</v>
      </c>
      <c r="U29" s="24" t="str" cm="1">
        <f t="array" ref="U29">_xlfn.IFS(T29&lt;1,"underpaid",T29&gt;1,"overpaid",T29=1,"median pay")</f>
        <v>overpaid</v>
      </c>
      <c r="V29" s="5"/>
    </row>
    <row r="30" spans="1:22" x14ac:dyDescent="0.3">
      <c r="A30" s="21" t="s">
        <v>41</v>
      </c>
      <c r="B30" s="8" t="s">
        <v>1040</v>
      </c>
      <c r="C30" s="8" t="s">
        <v>2014</v>
      </c>
      <c r="D30" s="9">
        <v>45287</v>
      </c>
      <c r="E30" s="10">
        <f t="shared" si="0"/>
        <v>633876</v>
      </c>
      <c r="F30" s="8">
        <v>46946</v>
      </c>
      <c r="G30" s="8">
        <v>5877</v>
      </c>
      <c r="H30" s="11">
        <f t="shared" si="1"/>
        <v>23473</v>
      </c>
      <c r="I30" s="11">
        <f t="shared" si="2"/>
        <v>9389.2000000000007</v>
      </c>
      <c r="J30" s="11">
        <f t="shared" si="3"/>
        <v>14083.800000000003</v>
      </c>
      <c r="K30" s="11">
        <f t="shared" si="4"/>
        <v>2816.7599999999998</v>
      </c>
      <c r="L30" s="8">
        <v>200</v>
      </c>
      <c r="M30" s="8">
        <f t="shared" si="5"/>
        <v>208</v>
      </c>
      <c r="N30" s="11">
        <v>1</v>
      </c>
      <c r="O30" s="11">
        <f t="shared" si="6"/>
        <v>112.85096153846153</v>
      </c>
      <c r="P30" s="11">
        <f t="shared" si="7"/>
        <v>225.70192307692307</v>
      </c>
      <c r="Q30" s="11">
        <f t="shared" si="8"/>
        <v>225.70192307692307</v>
      </c>
      <c r="R30" s="8">
        <v>49807</v>
      </c>
      <c r="S30" s="11">
        <f t="shared" si="9"/>
        <v>55684</v>
      </c>
      <c r="T30" s="20">
        <f>S30/median_percentile!$B$1</f>
        <v>1.1048741530005852</v>
      </c>
      <c r="U30" s="24" t="str" cm="1">
        <f t="array" ref="U30">_xlfn.IFS(T30&lt;1,"underpaid",T30&gt;1,"overpaid",T30=1,"median pay")</f>
        <v>overpaid</v>
      </c>
      <c r="V30" s="5"/>
    </row>
    <row r="31" spans="1:22" x14ac:dyDescent="0.3">
      <c r="A31" s="22" t="s">
        <v>42</v>
      </c>
      <c r="B31" s="12" t="s">
        <v>1041</v>
      </c>
      <c r="C31" s="12" t="s">
        <v>2011</v>
      </c>
      <c r="D31" s="13">
        <v>45202</v>
      </c>
      <c r="E31" s="14">
        <f t="shared" si="0"/>
        <v>445920</v>
      </c>
      <c r="F31" s="12">
        <v>32082</v>
      </c>
      <c r="G31" s="12">
        <v>5078</v>
      </c>
      <c r="H31" s="15">
        <f t="shared" si="1"/>
        <v>16041</v>
      </c>
      <c r="I31" s="15">
        <f t="shared" si="2"/>
        <v>6416.4000000000005</v>
      </c>
      <c r="J31" s="15">
        <f t="shared" si="3"/>
        <v>9624.5999999999985</v>
      </c>
      <c r="K31" s="15">
        <f t="shared" si="4"/>
        <v>1924.9199999999998</v>
      </c>
      <c r="L31" s="12">
        <v>200</v>
      </c>
      <c r="M31" s="12">
        <f t="shared" si="5"/>
        <v>208</v>
      </c>
      <c r="N31" s="15">
        <v>2</v>
      </c>
      <c r="O31" s="15">
        <f t="shared" si="6"/>
        <v>77.120192307692307</v>
      </c>
      <c r="P31" s="15">
        <f t="shared" si="7"/>
        <v>154.24038461538461</v>
      </c>
      <c r="Q31" s="15">
        <f t="shared" si="8"/>
        <v>308.48076923076923</v>
      </c>
      <c r="R31" s="12">
        <v>35036</v>
      </c>
      <c r="S31" s="15">
        <f t="shared" si="9"/>
        <v>40114</v>
      </c>
      <c r="T31" s="20">
        <f>S31/median_percentile!$B$1</f>
        <v>0.79593638699564473</v>
      </c>
      <c r="U31" s="24" t="str" cm="1">
        <f t="array" ref="U31">_xlfn.IFS(T31&lt;1,"underpaid",T31&gt;1,"overpaid",T31=1,"median pay")</f>
        <v>underpaid</v>
      </c>
      <c r="V31" s="5"/>
    </row>
    <row r="32" spans="1:22" x14ac:dyDescent="0.3">
      <c r="A32" s="21" t="s">
        <v>43</v>
      </c>
      <c r="B32" s="8" t="s">
        <v>1042</v>
      </c>
      <c r="C32" s="8" t="s">
        <v>2016</v>
      </c>
      <c r="D32" s="9">
        <v>45813</v>
      </c>
      <c r="E32" s="10">
        <f t="shared" si="0"/>
        <v>522036</v>
      </c>
      <c r="F32" s="8">
        <v>37400</v>
      </c>
      <c r="G32" s="8">
        <v>6103</v>
      </c>
      <c r="H32" s="11">
        <f t="shared" si="1"/>
        <v>18700</v>
      </c>
      <c r="I32" s="11">
        <f t="shared" si="2"/>
        <v>7480</v>
      </c>
      <c r="J32" s="11">
        <f t="shared" si="3"/>
        <v>11220</v>
      </c>
      <c r="K32" s="11">
        <f t="shared" si="4"/>
        <v>2244</v>
      </c>
      <c r="L32" s="8">
        <v>200</v>
      </c>
      <c r="M32" s="8">
        <f t="shared" si="5"/>
        <v>208</v>
      </c>
      <c r="N32" s="11">
        <v>2</v>
      </c>
      <c r="O32" s="11">
        <f t="shared" si="6"/>
        <v>89.90384615384616</v>
      </c>
      <c r="P32" s="11">
        <f t="shared" si="7"/>
        <v>179.80769230769232</v>
      </c>
      <c r="Q32" s="11">
        <f t="shared" si="8"/>
        <v>359.61538461538464</v>
      </c>
      <c r="R32" s="8">
        <v>41059</v>
      </c>
      <c r="S32" s="11">
        <f t="shared" si="9"/>
        <v>47162</v>
      </c>
      <c r="T32" s="20">
        <f>S32/median_percentile!$B$1</f>
        <v>0.93578181890334033</v>
      </c>
      <c r="U32" s="24" t="str" cm="1">
        <f t="array" ref="U32">_xlfn.IFS(T32&lt;1,"underpaid",T32&gt;1,"overpaid",T32=1,"median pay")</f>
        <v>underpaid</v>
      </c>
      <c r="V32" s="5"/>
    </row>
    <row r="33" spans="1:22" x14ac:dyDescent="0.3">
      <c r="A33" s="22" t="s">
        <v>44</v>
      </c>
      <c r="B33" s="12" t="s">
        <v>1043</v>
      </c>
      <c r="C33" s="12" t="s">
        <v>2011</v>
      </c>
      <c r="D33" s="13">
        <v>45584</v>
      </c>
      <c r="E33" s="14">
        <f t="shared" si="0"/>
        <v>378048</v>
      </c>
      <c r="F33" s="12">
        <v>27926</v>
      </c>
      <c r="G33" s="12">
        <v>3578</v>
      </c>
      <c r="H33" s="15">
        <f t="shared" si="1"/>
        <v>13963</v>
      </c>
      <c r="I33" s="15">
        <f t="shared" si="2"/>
        <v>5585.2000000000007</v>
      </c>
      <c r="J33" s="15">
        <f t="shared" si="3"/>
        <v>8377.7999999999993</v>
      </c>
      <c r="K33" s="15">
        <f t="shared" si="4"/>
        <v>1675.56</v>
      </c>
      <c r="L33" s="12">
        <v>200</v>
      </c>
      <c r="M33" s="12">
        <f t="shared" si="5"/>
        <v>208</v>
      </c>
      <c r="N33" s="15">
        <v>4</v>
      </c>
      <c r="O33" s="15">
        <f t="shared" si="6"/>
        <v>67.129807692307693</v>
      </c>
      <c r="P33" s="15">
        <f t="shared" si="7"/>
        <v>134.25961538461539</v>
      </c>
      <c r="Q33" s="15">
        <f t="shared" si="8"/>
        <v>537.03846153846155</v>
      </c>
      <c r="R33" s="12">
        <v>30094</v>
      </c>
      <c r="S33" s="15">
        <f t="shared" si="9"/>
        <v>33672</v>
      </c>
      <c r="T33" s="20">
        <f>S33/median_percentile!$B$1</f>
        <v>0.66811512247388316</v>
      </c>
      <c r="U33" s="24" t="str" cm="1">
        <f t="array" ref="U33">_xlfn.IFS(T33&lt;1,"underpaid",T33&gt;1,"overpaid",T33=1,"median pay")</f>
        <v>underpaid</v>
      </c>
      <c r="V33" s="5"/>
    </row>
    <row r="34" spans="1:22" x14ac:dyDescent="0.3">
      <c r="A34" s="21" t="s">
        <v>45</v>
      </c>
      <c r="B34" s="8" t="s">
        <v>1044</v>
      </c>
      <c r="C34" s="8" t="s">
        <v>2016</v>
      </c>
      <c r="D34" s="9">
        <v>44327</v>
      </c>
      <c r="E34" s="10">
        <f t="shared" si="0"/>
        <v>577404</v>
      </c>
      <c r="F34" s="8">
        <v>40292</v>
      </c>
      <c r="G34" s="8">
        <v>7825</v>
      </c>
      <c r="H34" s="11">
        <f t="shared" si="1"/>
        <v>20146</v>
      </c>
      <c r="I34" s="11">
        <f t="shared" si="2"/>
        <v>8058.4000000000005</v>
      </c>
      <c r="J34" s="11">
        <f t="shared" si="3"/>
        <v>12087.599999999999</v>
      </c>
      <c r="K34" s="11">
        <f t="shared" si="4"/>
        <v>2417.52</v>
      </c>
      <c r="L34" s="8">
        <v>200</v>
      </c>
      <c r="M34" s="8">
        <f t="shared" si="5"/>
        <v>208</v>
      </c>
      <c r="N34" s="11">
        <v>5</v>
      </c>
      <c r="O34" s="11">
        <f t="shared" si="6"/>
        <v>96.855769230769226</v>
      </c>
      <c r="P34" s="11">
        <f t="shared" si="7"/>
        <v>193.71153846153845</v>
      </c>
      <c r="Q34" s="11">
        <f t="shared" si="8"/>
        <v>968.55769230769226</v>
      </c>
      <c r="R34" s="8">
        <v>45500</v>
      </c>
      <c r="S34" s="11">
        <f t="shared" si="9"/>
        <v>53325</v>
      </c>
      <c r="T34" s="20">
        <f>S34/median_percentile!$B$1</f>
        <v>1.0580672043810828</v>
      </c>
      <c r="U34" s="24" t="str" cm="1">
        <f t="array" ref="U34">_xlfn.IFS(T34&lt;1,"underpaid",T34&gt;1,"overpaid",T34=1,"median pay")</f>
        <v>overpaid</v>
      </c>
      <c r="V34" s="5"/>
    </row>
    <row r="35" spans="1:22" x14ac:dyDescent="0.3">
      <c r="A35" s="22" t="s">
        <v>46</v>
      </c>
      <c r="B35" s="12" t="s">
        <v>1045</v>
      </c>
      <c r="C35" s="12" t="s">
        <v>2016</v>
      </c>
      <c r="D35" s="13">
        <v>44514</v>
      </c>
      <c r="E35" s="14">
        <f t="shared" si="0"/>
        <v>533952</v>
      </c>
      <c r="F35" s="12">
        <v>37207</v>
      </c>
      <c r="G35" s="12">
        <v>7289</v>
      </c>
      <c r="H35" s="15">
        <f t="shared" si="1"/>
        <v>18603.5</v>
      </c>
      <c r="I35" s="15">
        <f t="shared" si="2"/>
        <v>7441.4000000000005</v>
      </c>
      <c r="J35" s="15">
        <f t="shared" si="3"/>
        <v>11162.099999999999</v>
      </c>
      <c r="K35" s="15">
        <f t="shared" si="4"/>
        <v>2232.42</v>
      </c>
      <c r="L35" s="12">
        <v>200</v>
      </c>
      <c r="M35" s="12">
        <f t="shared" si="5"/>
        <v>208</v>
      </c>
      <c r="N35" s="15">
        <v>2</v>
      </c>
      <c r="O35" s="15">
        <f t="shared" si="6"/>
        <v>89.43990384615384</v>
      </c>
      <c r="P35" s="15">
        <f t="shared" si="7"/>
        <v>178.87980769230768</v>
      </c>
      <c r="Q35" s="15">
        <f t="shared" si="8"/>
        <v>357.75961538461536</v>
      </c>
      <c r="R35" s="12">
        <v>42064</v>
      </c>
      <c r="S35" s="15">
        <f t="shared" si="9"/>
        <v>49353</v>
      </c>
      <c r="T35" s="20">
        <f>S35/median_percentile!$B$1</f>
        <v>0.97925533498020778</v>
      </c>
      <c r="U35" s="24" t="str" cm="1">
        <f t="array" ref="U35">_xlfn.IFS(T35&lt;1,"underpaid",T35&gt;1,"overpaid",T35=1,"median pay")</f>
        <v>underpaid</v>
      </c>
      <c r="V35" s="5"/>
    </row>
    <row r="36" spans="1:22" x14ac:dyDescent="0.3">
      <c r="A36" s="21" t="s">
        <v>47</v>
      </c>
      <c r="B36" s="8" t="s">
        <v>1046</v>
      </c>
      <c r="C36" s="8" t="s">
        <v>2014</v>
      </c>
      <c r="D36" s="9">
        <v>45982</v>
      </c>
      <c r="E36" s="10">
        <f t="shared" si="0"/>
        <v>518088</v>
      </c>
      <c r="F36" s="8">
        <v>38044</v>
      </c>
      <c r="G36" s="8">
        <v>5130</v>
      </c>
      <c r="H36" s="11">
        <f t="shared" si="1"/>
        <v>19022</v>
      </c>
      <c r="I36" s="11">
        <f t="shared" si="2"/>
        <v>7608.8</v>
      </c>
      <c r="J36" s="11">
        <f t="shared" si="3"/>
        <v>11413.2</v>
      </c>
      <c r="K36" s="11">
        <f t="shared" si="4"/>
        <v>2282.64</v>
      </c>
      <c r="L36" s="8">
        <v>200</v>
      </c>
      <c r="M36" s="8">
        <f t="shared" si="5"/>
        <v>208</v>
      </c>
      <c r="N36" s="11">
        <v>4</v>
      </c>
      <c r="O36" s="11">
        <f t="shared" si="6"/>
        <v>91.45192307692308</v>
      </c>
      <c r="P36" s="11">
        <f t="shared" si="7"/>
        <v>182.90384615384616</v>
      </c>
      <c r="Q36" s="11">
        <f t="shared" si="8"/>
        <v>731.61538461538464</v>
      </c>
      <c r="R36" s="8">
        <v>40692</v>
      </c>
      <c r="S36" s="11">
        <f t="shared" si="9"/>
        <v>45822</v>
      </c>
      <c r="T36" s="20">
        <f>S36/median_percentile!$B$1</f>
        <v>0.90919372600375015</v>
      </c>
      <c r="U36" s="24" t="str" cm="1">
        <f t="array" ref="U36">_xlfn.IFS(T36&lt;1,"underpaid",T36&gt;1,"overpaid",T36=1,"median pay")</f>
        <v>underpaid</v>
      </c>
      <c r="V36" s="5"/>
    </row>
    <row r="37" spans="1:22" x14ac:dyDescent="0.3">
      <c r="A37" s="22" t="s">
        <v>48</v>
      </c>
      <c r="B37" s="12" t="s">
        <v>1047</v>
      </c>
      <c r="C37" s="12" t="s">
        <v>2015</v>
      </c>
      <c r="D37" s="13">
        <v>43981</v>
      </c>
      <c r="E37" s="14">
        <f t="shared" si="0"/>
        <v>434172</v>
      </c>
      <c r="F37" s="12">
        <v>32442</v>
      </c>
      <c r="G37" s="12">
        <v>3739</v>
      </c>
      <c r="H37" s="15">
        <f t="shared" si="1"/>
        <v>16221</v>
      </c>
      <c r="I37" s="15">
        <f t="shared" si="2"/>
        <v>6488.4000000000005</v>
      </c>
      <c r="J37" s="15">
        <f t="shared" si="3"/>
        <v>9732.5999999999985</v>
      </c>
      <c r="K37" s="15">
        <f t="shared" si="4"/>
        <v>1946.52</v>
      </c>
      <c r="L37" s="12">
        <v>200</v>
      </c>
      <c r="M37" s="12">
        <f t="shared" si="5"/>
        <v>208</v>
      </c>
      <c r="N37" s="15">
        <v>4</v>
      </c>
      <c r="O37" s="15">
        <f t="shared" si="6"/>
        <v>77.98557692307692</v>
      </c>
      <c r="P37" s="15">
        <f t="shared" si="7"/>
        <v>155.97115384615384</v>
      </c>
      <c r="Q37" s="15">
        <f t="shared" si="8"/>
        <v>623.88461538461536</v>
      </c>
      <c r="R37" s="12">
        <v>34035</v>
      </c>
      <c r="S37" s="15">
        <f t="shared" si="9"/>
        <v>37774</v>
      </c>
      <c r="T37" s="20">
        <f>S37/median_percentile!$B$1</f>
        <v>0.7495064337232259</v>
      </c>
      <c r="U37" s="24" t="str" cm="1">
        <f t="array" ref="U37">_xlfn.IFS(T37&lt;1,"underpaid",T37&gt;1,"overpaid",T37=1,"median pay")</f>
        <v>underpaid</v>
      </c>
      <c r="V37" s="5"/>
    </row>
    <row r="38" spans="1:22" x14ac:dyDescent="0.3">
      <c r="A38" s="21" t="s">
        <v>49</v>
      </c>
      <c r="B38" s="8" t="s">
        <v>1048</v>
      </c>
      <c r="C38" s="8" t="s">
        <v>2014</v>
      </c>
      <c r="D38" s="9">
        <v>44543</v>
      </c>
      <c r="E38" s="10">
        <f t="shared" si="0"/>
        <v>526992</v>
      </c>
      <c r="F38" s="8">
        <v>39911</v>
      </c>
      <c r="G38" s="8">
        <v>4005</v>
      </c>
      <c r="H38" s="11">
        <f t="shared" si="1"/>
        <v>19955.5</v>
      </c>
      <c r="I38" s="11">
        <f t="shared" si="2"/>
        <v>7982.2000000000007</v>
      </c>
      <c r="J38" s="11">
        <f t="shared" si="3"/>
        <v>11973.3</v>
      </c>
      <c r="K38" s="11">
        <f t="shared" si="4"/>
        <v>2394.66</v>
      </c>
      <c r="L38" s="8">
        <v>200</v>
      </c>
      <c r="M38" s="8">
        <f t="shared" si="5"/>
        <v>208</v>
      </c>
      <c r="N38" s="11">
        <v>0</v>
      </c>
      <c r="O38" s="11">
        <f t="shared" si="6"/>
        <v>95.93990384615384</v>
      </c>
      <c r="P38" s="11">
        <f t="shared" si="7"/>
        <v>191.87980769230768</v>
      </c>
      <c r="Q38" s="11">
        <f t="shared" si="8"/>
        <v>0</v>
      </c>
      <c r="R38" s="8">
        <v>41322</v>
      </c>
      <c r="S38" s="11">
        <f t="shared" si="9"/>
        <v>45327</v>
      </c>
      <c r="T38" s="20">
        <f>S38/median_percentile!$B$1</f>
        <v>0.89937200511920001</v>
      </c>
      <c r="U38" s="24" t="str" cm="1">
        <f t="array" ref="U38">_xlfn.IFS(T38&lt;1,"underpaid",T38&gt;1,"overpaid",T38=1,"median pay")</f>
        <v>underpaid</v>
      </c>
      <c r="V38" s="5"/>
    </row>
    <row r="39" spans="1:22" x14ac:dyDescent="0.3">
      <c r="A39" s="22" t="s">
        <v>50</v>
      </c>
      <c r="B39" s="12" t="s">
        <v>1049</v>
      </c>
      <c r="C39" s="12" t="s">
        <v>2016</v>
      </c>
      <c r="D39" s="13">
        <v>44911</v>
      </c>
      <c r="E39" s="14">
        <f t="shared" si="0"/>
        <v>374280</v>
      </c>
      <c r="F39" s="12">
        <v>27056</v>
      </c>
      <c r="G39" s="12">
        <v>4134</v>
      </c>
      <c r="H39" s="15">
        <f t="shared" si="1"/>
        <v>13528</v>
      </c>
      <c r="I39" s="15">
        <f t="shared" si="2"/>
        <v>5411.2000000000007</v>
      </c>
      <c r="J39" s="15">
        <f t="shared" si="3"/>
        <v>8116.7999999999993</v>
      </c>
      <c r="K39" s="15">
        <f t="shared" si="4"/>
        <v>1623.36</v>
      </c>
      <c r="L39" s="12">
        <v>200</v>
      </c>
      <c r="M39" s="12">
        <f t="shared" si="5"/>
        <v>208</v>
      </c>
      <c r="N39" s="15">
        <v>1</v>
      </c>
      <c r="O39" s="15">
        <f t="shared" si="6"/>
        <v>65.038461538461533</v>
      </c>
      <c r="P39" s="15">
        <f t="shared" si="7"/>
        <v>130.07692307692307</v>
      </c>
      <c r="Q39" s="15">
        <f t="shared" si="8"/>
        <v>130.07692307692307</v>
      </c>
      <c r="R39" s="12">
        <v>29592</v>
      </c>
      <c r="S39" s="15">
        <f t="shared" si="9"/>
        <v>33726</v>
      </c>
      <c r="T39" s="20">
        <f>S39/median_percentile!$B$1</f>
        <v>0.66918658293401589</v>
      </c>
      <c r="U39" s="24" t="str" cm="1">
        <f t="array" ref="U39">_xlfn.IFS(T39&lt;1,"underpaid",T39&gt;1,"overpaid",T39=1,"median pay")</f>
        <v>underpaid</v>
      </c>
      <c r="V39" s="5"/>
    </row>
    <row r="40" spans="1:22" x14ac:dyDescent="0.3">
      <c r="A40" s="21" t="s">
        <v>51</v>
      </c>
      <c r="B40" s="8" t="s">
        <v>1050</v>
      </c>
      <c r="C40" s="8" t="s">
        <v>2015</v>
      </c>
      <c r="D40" s="9">
        <v>43484</v>
      </c>
      <c r="E40" s="10">
        <f t="shared" si="0"/>
        <v>380448</v>
      </c>
      <c r="F40" s="8">
        <v>27658</v>
      </c>
      <c r="G40" s="8">
        <v>4046</v>
      </c>
      <c r="H40" s="11">
        <f t="shared" si="1"/>
        <v>13829</v>
      </c>
      <c r="I40" s="11">
        <f t="shared" si="2"/>
        <v>5531.6</v>
      </c>
      <c r="J40" s="11">
        <f t="shared" si="3"/>
        <v>8297.4000000000015</v>
      </c>
      <c r="K40" s="11">
        <f t="shared" si="4"/>
        <v>1659.48</v>
      </c>
      <c r="L40" s="8">
        <v>200</v>
      </c>
      <c r="M40" s="8">
        <f t="shared" si="5"/>
        <v>208</v>
      </c>
      <c r="N40" s="11">
        <v>5</v>
      </c>
      <c r="O40" s="11">
        <f t="shared" si="6"/>
        <v>66.48557692307692</v>
      </c>
      <c r="P40" s="11">
        <f t="shared" si="7"/>
        <v>132.97115384615384</v>
      </c>
      <c r="Q40" s="11">
        <f t="shared" si="8"/>
        <v>664.85576923076917</v>
      </c>
      <c r="R40" s="8">
        <v>30305</v>
      </c>
      <c r="S40" s="11">
        <f t="shared" si="9"/>
        <v>34351</v>
      </c>
      <c r="T40" s="20">
        <f>S40/median_percentile!$B$1</f>
        <v>0.68158774566703373</v>
      </c>
      <c r="U40" s="24" t="str" cm="1">
        <f t="array" ref="U40">_xlfn.IFS(T40&lt;1,"underpaid",T40&gt;1,"overpaid",T40=1,"median pay")</f>
        <v>underpaid</v>
      </c>
      <c r="V40" s="5"/>
    </row>
    <row r="41" spans="1:22" x14ac:dyDescent="0.3">
      <c r="A41" s="22" t="s">
        <v>52</v>
      </c>
      <c r="B41" s="12" t="s">
        <v>1051</v>
      </c>
      <c r="C41" s="12" t="s">
        <v>2013</v>
      </c>
      <c r="D41" s="13">
        <v>45480</v>
      </c>
      <c r="E41" s="14">
        <f t="shared" si="0"/>
        <v>469404</v>
      </c>
      <c r="F41" s="12">
        <v>33647</v>
      </c>
      <c r="G41" s="12">
        <v>5470</v>
      </c>
      <c r="H41" s="15">
        <f t="shared" si="1"/>
        <v>16823.5</v>
      </c>
      <c r="I41" s="15">
        <f t="shared" si="2"/>
        <v>6729.4000000000005</v>
      </c>
      <c r="J41" s="15">
        <f t="shared" si="3"/>
        <v>10094.099999999999</v>
      </c>
      <c r="K41" s="15">
        <f t="shared" si="4"/>
        <v>2018.82</v>
      </c>
      <c r="L41" s="12">
        <v>200</v>
      </c>
      <c r="M41" s="12">
        <f t="shared" si="5"/>
        <v>208</v>
      </c>
      <c r="N41" s="15">
        <v>4</v>
      </c>
      <c r="O41" s="15">
        <f t="shared" si="6"/>
        <v>80.882211538461533</v>
      </c>
      <c r="P41" s="15">
        <f t="shared" si="7"/>
        <v>161.76442307692307</v>
      </c>
      <c r="Q41" s="15">
        <f t="shared" si="8"/>
        <v>647.05769230769226</v>
      </c>
      <c r="R41" s="12">
        <v>37179</v>
      </c>
      <c r="S41" s="15">
        <f t="shared" si="9"/>
        <v>42649</v>
      </c>
      <c r="T41" s="20">
        <f>S41/median_percentile!$B$1</f>
        <v>0.84623550304076511</v>
      </c>
      <c r="U41" s="24" t="str" cm="1">
        <f t="array" ref="U41">_xlfn.IFS(T41&lt;1,"underpaid",T41&gt;1,"overpaid",T41=1,"median pay")</f>
        <v>underpaid</v>
      </c>
      <c r="V41" s="5"/>
    </row>
    <row r="42" spans="1:22" x14ac:dyDescent="0.3">
      <c r="A42" s="21" t="s">
        <v>53</v>
      </c>
      <c r="B42" s="8" t="s">
        <v>1052</v>
      </c>
      <c r="C42" s="8" t="s">
        <v>2013</v>
      </c>
      <c r="D42" s="9">
        <v>43753</v>
      </c>
      <c r="E42" s="10">
        <f t="shared" si="0"/>
        <v>644376</v>
      </c>
      <c r="F42" s="8">
        <v>47627</v>
      </c>
      <c r="G42" s="8">
        <v>6071</v>
      </c>
      <c r="H42" s="11">
        <f t="shared" si="1"/>
        <v>23813.5</v>
      </c>
      <c r="I42" s="11">
        <f t="shared" si="2"/>
        <v>9525.4</v>
      </c>
      <c r="J42" s="11">
        <f t="shared" si="3"/>
        <v>14288.099999999999</v>
      </c>
      <c r="K42" s="11">
        <f t="shared" si="4"/>
        <v>2857.62</v>
      </c>
      <c r="L42" s="8">
        <v>200</v>
      </c>
      <c r="M42" s="8">
        <f t="shared" si="5"/>
        <v>208</v>
      </c>
      <c r="N42" s="11">
        <v>4</v>
      </c>
      <c r="O42" s="11">
        <f t="shared" si="6"/>
        <v>114.48798076923077</v>
      </c>
      <c r="P42" s="11">
        <f t="shared" si="7"/>
        <v>228.97596153846155</v>
      </c>
      <c r="Q42" s="11">
        <f t="shared" si="8"/>
        <v>915.90384615384619</v>
      </c>
      <c r="R42" s="8">
        <v>50641</v>
      </c>
      <c r="S42" s="11">
        <f t="shared" si="9"/>
        <v>56712</v>
      </c>
      <c r="T42" s="20">
        <f>S42/median_percentile!$B$1</f>
        <v>1.1252715854638531</v>
      </c>
      <c r="U42" s="24" t="str" cm="1">
        <f t="array" ref="U42">_xlfn.IFS(T42&lt;1,"underpaid",T42&gt;1,"overpaid",T42=1,"median pay")</f>
        <v>overpaid</v>
      </c>
      <c r="V42" s="5"/>
    </row>
    <row r="43" spans="1:22" x14ac:dyDescent="0.3">
      <c r="A43" s="22" t="s">
        <v>54</v>
      </c>
      <c r="B43" s="12" t="s">
        <v>1053</v>
      </c>
      <c r="C43" s="12" t="s">
        <v>2014</v>
      </c>
      <c r="D43" s="13">
        <v>43630</v>
      </c>
      <c r="E43" s="14">
        <f t="shared" si="0"/>
        <v>792264</v>
      </c>
      <c r="F43" s="12">
        <v>58657</v>
      </c>
      <c r="G43" s="12">
        <v>7365</v>
      </c>
      <c r="H43" s="15">
        <f t="shared" si="1"/>
        <v>29328.5</v>
      </c>
      <c r="I43" s="15">
        <f t="shared" si="2"/>
        <v>11731.400000000001</v>
      </c>
      <c r="J43" s="15">
        <f t="shared" si="3"/>
        <v>17597.099999999999</v>
      </c>
      <c r="K43" s="15">
        <f t="shared" si="4"/>
        <v>3519.42</v>
      </c>
      <c r="L43" s="12">
        <v>200</v>
      </c>
      <c r="M43" s="12">
        <f t="shared" si="5"/>
        <v>208</v>
      </c>
      <c r="N43" s="15">
        <v>2</v>
      </c>
      <c r="O43" s="15">
        <f t="shared" si="6"/>
        <v>141.00240384615384</v>
      </c>
      <c r="P43" s="15">
        <f t="shared" si="7"/>
        <v>282.00480769230768</v>
      </c>
      <c r="Q43" s="15">
        <f t="shared" si="8"/>
        <v>564.00961538461536</v>
      </c>
      <c r="R43" s="12">
        <v>62303</v>
      </c>
      <c r="S43" s="15">
        <f t="shared" si="9"/>
        <v>69668</v>
      </c>
      <c r="T43" s="20">
        <f>S43/median_percentile!$B$1</f>
        <v>1.3823427284542198</v>
      </c>
      <c r="U43" s="24" t="str" cm="1">
        <f t="array" ref="U43">_xlfn.IFS(T43&lt;1,"underpaid",T43&gt;1,"overpaid",T43=1,"median pay")</f>
        <v>overpaid</v>
      </c>
      <c r="V43" s="5"/>
    </row>
    <row r="44" spans="1:22" x14ac:dyDescent="0.3">
      <c r="A44" s="21" t="s">
        <v>55</v>
      </c>
      <c r="B44" s="8" t="s">
        <v>1054</v>
      </c>
      <c r="C44" s="8" t="s">
        <v>2013</v>
      </c>
      <c r="D44" s="9">
        <v>44051</v>
      </c>
      <c r="E44" s="10">
        <f t="shared" si="0"/>
        <v>713808</v>
      </c>
      <c r="F44" s="8">
        <v>50705</v>
      </c>
      <c r="G44" s="8">
        <v>8779</v>
      </c>
      <c r="H44" s="11">
        <f t="shared" si="1"/>
        <v>25352.5</v>
      </c>
      <c r="I44" s="11">
        <f t="shared" si="2"/>
        <v>10141</v>
      </c>
      <c r="J44" s="11">
        <f t="shared" si="3"/>
        <v>15211.5</v>
      </c>
      <c r="K44" s="11">
        <f t="shared" si="4"/>
        <v>3042.2999999999997</v>
      </c>
      <c r="L44" s="8">
        <v>200</v>
      </c>
      <c r="M44" s="8">
        <f t="shared" si="5"/>
        <v>208</v>
      </c>
      <c r="N44" s="11">
        <v>2</v>
      </c>
      <c r="O44" s="11">
        <f t="shared" si="6"/>
        <v>121.88701923076923</v>
      </c>
      <c r="P44" s="11">
        <f t="shared" si="7"/>
        <v>243.77403846153845</v>
      </c>
      <c r="Q44" s="11">
        <f t="shared" si="8"/>
        <v>487.54807692307691</v>
      </c>
      <c r="R44" s="8">
        <v>56242</v>
      </c>
      <c r="S44" s="11">
        <f t="shared" si="9"/>
        <v>65021</v>
      </c>
      <c r="T44" s="20">
        <f>S44/median_percentile!$B$1</f>
        <v>1.2901376033016856</v>
      </c>
      <c r="U44" s="24" t="str" cm="1">
        <f t="array" ref="U44">_xlfn.IFS(T44&lt;1,"underpaid",T44&gt;1,"overpaid",T44=1,"median pay")</f>
        <v>overpaid</v>
      </c>
      <c r="V44" s="5"/>
    </row>
    <row r="45" spans="1:22" x14ac:dyDescent="0.3">
      <c r="A45" s="22" t="s">
        <v>56</v>
      </c>
      <c r="B45" s="12" t="s">
        <v>1055</v>
      </c>
      <c r="C45" s="12" t="s">
        <v>2013</v>
      </c>
      <c r="D45" s="13">
        <v>43898</v>
      </c>
      <c r="E45" s="14">
        <f t="shared" si="0"/>
        <v>517512</v>
      </c>
      <c r="F45" s="12">
        <v>36855</v>
      </c>
      <c r="G45" s="12">
        <v>6271</v>
      </c>
      <c r="H45" s="15">
        <f t="shared" si="1"/>
        <v>18427.5</v>
      </c>
      <c r="I45" s="15">
        <f t="shared" si="2"/>
        <v>7371</v>
      </c>
      <c r="J45" s="15">
        <f t="shared" si="3"/>
        <v>11056.5</v>
      </c>
      <c r="K45" s="15">
        <f t="shared" si="4"/>
        <v>2211.2999999999997</v>
      </c>
      <c r="L45" s="12">
        <v>200</v>
      </c>
      <c r="M45" s="12">
        <f t="shared" si="5"/>
        <v>208</v>
      </c>
      <c r="N45" s="15">
        <v>5</v>
      </c>
      <c r="O45" s="15">
        <f t="shared" si="6"/>
        <v>88.59375</v>
      </c>
      <c r="P45" s="15">
        <f t="shared" si="7"/>
        <v>177.1875</v>
      </c>
      <c r="Q45" s="15">
        <f t="shared" si="8"/>
        <v>885.9375</v>
      </c>
      <c r="R45" s="12">
        <v>41022</v>
      </c>
      <c r="S45" s="15">
        <f t="shared" si="9"/>
        <v>47293</v>
      </c>
      <c r="T45" s="20">
        <f>S45/median_percentile!$B$1</f>
        <v>0.93838110261218088</v>
      </c>
      <c r="U45" s="24" t="str" cm="1">
        <f t="array" ref="U45">_xlfn.IFS(T45&lt;1,"underpaid",T45&gt;1,"overpaid",T45=1,"median pay")</f>
        <v>underpaid</v>
      </c>
      <c r="V45" s="5"/>
    </row>
    <row r="46" spans="1:22" x14ac:dyDescent="0.3">
      <c r="A46" s="21" t="s">
        <v>57</v>
      </c>
      <c r="B46" s="8" t="s">
        <v>1056</v>
      </c>
      <c r="C46" s="8" t="s">
        <v>2014</v>
      </c>
      <c r="D46" s="9">
        <v>43771</v>
      </c>
      <c r="E46" s="10">
        <f t="shared" si="0"/>
        <v>1092408</v>
      </c>
      <c r="F46" s="8">
        <v>76238</v>
      </c>
      <c r="G46" s="8">
        <v>14796</v>
      </c>
      <c r="H46" s="11">
        <f t="shared" si="1"/>
        <v>38119</v>
      </c>
      <c r="I46" s="11">
        <f t="shared" si="2"/>
        <v>15247.6</v>
      </c>
      <c r="J46" s="11">
        <f t="shared" si="3"/>
        <v>22871.4</v>
      </c>
      <c r="K46" s="11">
        <f t="shared" si="4"/>
        <v>4574.28</v>
      </c>
      <c r="L46" s="8">
        <v>200</v>
      </c>
      <c r="M46" s="8">
        <f t="shared" si="5"/>
        <v>208</v>
      </c>
      <c r="N46" s="11">
        <v>4</v>
      </c>
      <c r="O46" s="11">
        <f t="shared" si="6"/>
        <v>183.26442307692307</v>
      </c>
      <c r="P46" s="11">
        <f t="shared" si="7"/>
        <v>366.52884615384613</v>
      </c>
      <c r="Q46" s="11">
        <f t="shared" si="8"/>
        <v>1466.1153846153845</v>
      </c>
      <c r="R46" s="8">
        <v>87530</v>
      </c>
      <c r="S46" s="11">
        <f t="shared" si="9"/>
        <v>102326</v>
      </c>
      <c r="T46" s="20">
        <f>S46/median_percentile!$B$1</f>
        <v>2.0303382045100546</v>
      </c>
      <c r="U46" s="24" t="str" cm="1">
        <f t="array" ref="U46">_xlfn.IFS(T46&lt;1,"underpaid",T46&gt;1,"overpaid",T46=1,"median pay")</f>
        <v>overpaid</v>
      </c>
      <c r="V46" s="5"/>
    </row>
    <row r="47" spans="1:22" x14ac:dyDescent="0.3">
      <c r="A47" s="22" t="s">
        <v>58</v>
      </c>
      <c r="B47" s="12" t="s">
        <v>1057</v>
      </c>
      <c r="C47" s="12" t="s">
        <v>2014</v>
      </c>
      <c r="D47" s="13">
        <v>45488</v>
      </c>
      <c r="E47" s="14">
        <f t="shared" si="0"/>
        <v>977712</v>
      </c>
      <c r="F47" s="12">
        <v>70752</v>
      </c>
      <c r="G47" s="12">
        <v>10724</v>
      </c>
      <c r="H47" s="15">
        <f t="shared" si="1"/>
        <v>35376</v>
      </c>
      <c r="I47" s="15">
        <f t="shared" si="2"/>
        <v>14150.400000000001</v>
      </c>
      <c r="J47" s="15">
        <f t="shared" si="3"/>
        <v>21225.599999999999</v>
      </c>
      <c r="K47" s="15">
        <f t="shared" si="4"/>
        <v>4245.12</v>
      </c>
      <c r="L47" s="12">
        <v>200</v>
      </c>
      <c r="M47" s="12">
        <f t="shared" si="5"/>
        <v>208</v>
      </c>
      <c r="N47" s="15">
        <v>1</v>
      </c>
      <c r="O47" s="15">
        <f t="shared" si="6"/>
        <v>170.07692307692307</v>
      </c>
      <c r="P47" s="15">
        <f t="shared" si="7"/>
        <v>340.15384615384613</v>
      </c>
      <c r="Q47" s="15">
        <f t="shared" si="8"/>
        <v>340.15384615384613</v>
      </c>
      <c r="R47" s="12">
        <v>77620</v>
      </c>
      <c r="S47" s="15">
        <f t="shared" si="9"/>
        <v>88344</v>
      </c>
      <c r="T47" s="20">
        <f>S47/median_percentile!$B$1</f>
        <v>1.752909312777166</v>
      </c>
      <c r="U47" s="24" t="str" cm="1">
        <f t="array" ref="U47">_xlfn.IFS(T47&lt;1,"underpaid",T47&gt;1,"overpaid",T47=1,"median pay")</f>
        <v>overpaid</v>
      </c>
      <c r="V47" s="5"/>
    </row>
    <row r="48" spans="1:22" x14ac:dyDescent="0.3">
      <c r="A48" s="21" t="s">
        <v>59</v>
      </c>
      <c r="B48" s="8" t="s">
        <v>1058</v>
      </c>
      <c r="C48" s="8" t="s">
        <v>2014</v>
      </c>
      <c r="D48" s="9">
        <v>45414</v>
      </c>
      <c r="E48" s="10">
        <f t="shared" si="0"/>
        <v>640800</v>
      </c>
      <c r="F48" s="8">
        <v>45349</v>
      </c>
      <c r="G48" s="8">
        <v>8051</v>
      </c>
      <c r="H48" s="11">
        <f t="shared" si="1"/>
        <v>22674.5</v>
      </c>
      <c r="I48" s="11">
        <f t="shared" si="2"/>
        <v>9069.8000000000011</v>
      </c>
      <c r="J48" s="11">
        <f t="shared" si="3"/>
        <v>13604.699999999997</v>
      </c>
      <c r="K48" s="11">
        <f t="shared" si="4"/>
        <v>2720.94</v>
      </c>
      <c r="L48" s="8">
        <v>200</v>
      </c>
      <c r="M48" s="8">
        <f t="shared" si="5"/>
        <v>208</v>
      </c>
      <c r="N48" s="11">
        <v>5</v>
      </c>
      <c r="O48" s="11">
        <f t="shared" si="6"/>
        <v>109.01201923076923</v>
      </c>
      <c r="P48" s="11">
        <f t="shared" si="7"/>
        <v>218.02403846153845</v>
      </c>
      <c r="Q48" s="11">
        <f t="shared" si="8"/>
        <v>1090.1201923076924</v>
      </c>
      <c r="R48" s="8">
        <v>50480</v>
      </c>
      <c r="S48" s="11">
        <f t="shared" si="9"/>
        <v>58531</v>
      </c>
      <c r="T48" s="20">
        <f>S48/median_percentile!$B$1</f>
        <v>1.1613639294820282</v>
      </c>
      <c r="U48" s="24" t="str" cm="1">
        <f t="array" ref="U48">_xlfn.IFS(T48&lt;1,"underpaid",T48&gt;1,"overpaid",T48=1,"median pay")</f>
        <v>overpaid</v>
      </c>
      <c r="V48" s="5"/>
    </row>
    <row r="49" spans="1:22" x14ac:dyDescent="0.3">
      <c r="A49" s="22" t="s">
        <v>60</v>
      </c>
      <c r="B49" s="12" t="s">
        <v>1059</v>
      </c>
      <c r="C49" s="12" t="s">
        <v>2011</v>
      </c>
      <c r="D49" s="13">
        <v>44222</v>
      </c>
      <c r="E49" s="14">
        <f t="shared" si="0"/>
        <v>506004</v>
      </c>
      <c r="F49" s="12">
        <v>35825</v>
      </c>
      <c r="G49" s="12">
        <v>6342</v>
      </c>
      <c r="H49" s="15">
        <f t="shared" si="1"/>
        <v>17912.5</v>
      </c>
      <c r="I49" s="15">
        <f t="shared" si="2"/>
        <v>7165</v>
      </c>
      <c r="J49" s="15">
        <f t="shared" si="3"/>
        <v>10747.5</v>
      </c>
      <c r="K49" s="15">
        <f t="shared" si="4"/>
        <v>2149.5</v>
      </c>
      <c r="L49" s="12">
        <v>200</v>
      </c>
      <c r="M49" s="12">
        <f t="shared" si="5"/>
        <v>208</v>
      </c>
      <c r="N49" s="15">
        <v>1</v>
      </c>
      <c r="O49" s="15">
        <f t="shared" si="6"/>
        <v>86.117788461538467</v>
      </c>
      <c r="P49" s="15">
        <f t="shared" si="7"/>
        <v>172.23557692307693</v>
      </c>
      <c r="Q49" s="15">
        <f t="shared" si="8"/>
        <v>172.23557692307693</v>
      </c>
      <c r="R49" s="12">
        <v>39818</v>
      </c>
      <c r="S49" s="15">
        <f t="shared" si="9"/>
        <v>46160</v>
      </c>
      <c r="T49" s="20">
        <f>S49/median_percentile!$B$1</f>
        <v>0.91590027480976621</v>
      </c>
      <c r="U49" s="24" t="str" cm="1">
        <f t="array" ref="U49">_xlfn.IFS(T49&lt;1,"underpaid",T49&gt;1,"overpaid",T49=1,"median pay")</f>
        <v>underpaid</v>
      </c>
      <c r="V49" s="5"/>
    </row>
    <row r="50" spans="1:22" x14ac:dyDescent="0.3">
      <c r="A50" s="21" t="s">
        <v>61</v>
      </c>
      <c r="B50" s="8" t="s">
        <v>1060</v>
      </c>
      <c r="C50" s="8" t="s">
        <v>2013</v>
      </c>
      <c r="D50" s="9">
        <v>44911</v>
      </c>
      <c r="E50" s="10">
        <f t="shared" si="0"/>
        <v>480348</v>
      </c>
      <c r="F50" s="8">
        <v>35754</v>
      </c>
      <c r="G50" s="8">
        <v>4275</v>
      </c>
      <c r="H50" s="11">
        <f t="shared" si="1"/>
        <v>17877</v>
      </c>
      <c r="I50" s="11">
        <f t="shared" si="2"/>
        <v>7150.8</v>
      </c>
      <c r="J50" s="11">
        <f t="shared" si="3"/>
        <v>10726.2</v>
      </c>
      <c r="K50" s="11">
        <f t="shared" si="4"/>
        <v>2145.2399999999998</v>
      </c>
      <c r="L50" s="8">
        <v>200</v>
      </c>
      <c r="M50" s="8">
        <f t="shared" si="5"/>
        <v>208</v>
      </c>
      <c r="N50" s="11">
        <v>3</v>
      </c>
      <c r="O50" s="11">
        <f t="shared" si="6"/>
        <v>85.947115384615387</v>
      </c>
      <c r="P50" s="11">
        <f t="shared" si="7"/>
        <v>171.89423076923077</v>
      </c>
      <c r="Q50" s="11">
        <f t="shared" si="8"/>
        <v>515.68269230769238</v>
      </c>
      <c r="R50" s="8">
        <v>37981</v>
      </c>
      <c r="S50" s="11">
        <f t="shared" si="9"/>
        <v>42256</v>
      </c>
      <c r="T50" s="20">
        <f>S50/median_percentile!$B$1</f>
        <v>0.83843765191424346</v>
      </c>
      <c r="U50" s="24" t="str" cm="1">
        <f t="array" ref="U50">_xlfn.IFS(T50&lt;1,"underpaid",T50&gt;1,"overpaid",T50=1,"median pay")</f>
        <v>underpaid</v>
      </c>
      <c r="V50" s="5"/>
    </row>
    <row r="51" spans="1:22" x14ac:dyDescent="0.3">
      <c r="A51" s="22" t="s">
        <v>62</v>
      </c>
      <c r="B51" s="12" t="s">
        <v>1061</v>
      </c>
      <c r="C51" s="12" t="s">
        <v>2011</v>
      </c>
      <c r="D51" s="13">
        <v>45181</v>
      </c>
      <c r="E51" s="14">
        <f t="shared" si="0"/>
        <v>367500</v>
      </c>
      <c r="F51" s="12">
        <v>25970</v>
      </c>
      <c r="G51" s="12">
        <v>4655</v>
      </c>
      <c r="H51" s="15">
        <f t="shared" si="1"/>
        <v>12985</v>
      </c>
      <c r="I51" s="15">
        <f t="shared" si="2"/>
        <v>5194</v>
      </c>
      <c r="J51" s="15">
        <f t="shared" si="3"/>
        <v>7791</v>
      </c>
      <c r="K51" s="15">
        <f t="shared" si="4"/>
        <v>1558.2</v>
      </c>
      <c r="L51" s="12">
        <v>200</v>
      </c>
      <c r="M51" s="12">
        <f t="shared" si="5"/>
        <v>208</v>
      </c>
      <c r="N51" s="15">
        <v>5</v>
      </c>
      <c r="O51" s="15">
        <f t="shared" si="6"/>
        <v>62.427884615384613</v>
      </c>
      <c r="P51" s="15">
        <f t="shared" si="7"/>
        <v>124.85576923076923</v>
      </c>
      <c r="Q51" s="15">
        <f t="shared" si="8"/>
        <v>624.27884615384619</v>
      </c>
      <c r="R51" s="12">
        <v>28867</v>
      </c>
      <c r="S51" s="15">
        <f t="shared" si="9"/>
        <v>33522</v>
      </c>
      <c r="T51" s="20">
        <f>S51/median_percentile!$B$1</f>
        <v>0.66513884341795881</v>
      </c>
      <c r="U51" s="24" t="str" cm="1">
        <f t="array" ref="U51">_xlfn.IFS(T51&lt;1,"underpaid",T51&gt;1,"overpaid",T51=1,"median pay")</f>
        <v>underpaid</v>
      </c>
      <c r="V51" s="5"/>
    </row>
    <row r="52" spans="1:22" x14ac:dyDescent="0.3">
      <c r="A52" s="21" t="s">
        <v>63</v>
      </c>
      <c r="B52" s="8" t="s">
        <v>1062</v>
      </c>
      <c r="C52" s="8" t="s">
        <v>2012</v>
      </c>
      <c r="D52" s="9">
        <v>45165</v>
      </c>
      <c r="E52" s="10">
        <f t="shared" si="0"/>
        <v>507120</v>
      </c>
      <c r="F52" s="8">
        <v>38371</v>
      </c>
      <c r="G52" s="8">
        <v>3889</v>
      </c>
      <c r="H52" s="11">
        <f t="shared" si="1"/>
        <v>19185.5</v>
      </c>
      <c r="I52" s="11">
        <f t="shared" si="2"/>
        <v>7674.2000000000007</v>
      </c>
      <c r="J52" s="11">
        <f t="shared" si="3"/>
        <v>11511.3</v>
      </c>
      <c r="K52" s="11">
        <f t="shared" si="4"/>
        <v>2302.2599999999998</v>
      </c>
      <c r="L52" s="8">
        <v>200</v>
      </c>
      <c r="M52" s="8">
        <f t="shared" si="5"/>
        <v>208</v>
      </c>
      <c r="N52" s="11">
        <v>3</v>
      </c>
      <c r="O52" s="11">
        <f t="shared" si="6"/>
        <v>92.237980769230774</v>
      </c>
      <c r="P52" s="11">
        <f t="shared" si="7"/>
        <v>184.47596153846155</v>
      </c>
      <c r="Q52" s="11">
        <f t="shared" si="8"/>
        <v>553.42788461538464</v>
      </c>
      <c r="R52" s="8">
        <v>40397</v>
      </c>
      <c r="S52" s="11">
        <f t="shared" si="9"/>
        <v>44286</v>
      </c>
      <c r="T52" s="20">
        <f>S52/median_percentile!$B$1</f>
        <v>0.87871662847108545</v>
      </c>
      <c r="U52" s="24" t="str" cm="1">
        <f t="array" ref="U52">_xlfn.IFS(T52&lt;1,"underpaid",T52&gt;1,"overpaid",T52=1,"median pay")</f>
        <v>underpaid</v>
      </c>
      <c r="V52" s="5"/>
    </row>
    <row r="53" spans="1:22" x14ac:dyDescent="0.3">
      <c r="A53" s="22" t="s">
        <v>64</v>
      </c>
      <c r="B53" s="12" t="s">
        <v>1063</v>
      </c>
      <c r="C53" s="12" t="s">
        <v>2011</v>
      </c>
      <c r="D53" s="13">
        <v>43506</v>
      </c>
      <c r="E53" s="14">
        <f t="shared" si="0"/>
        <v>635220</v>
      </c>
      <c r="F53" s="12">
        <v>44374</v>
      </c>
      <c r="G53" s="12">
        <v>8561</v>
      </c>
      <c r="H53" s="15">
        <f t="shared" si="1"/>
        <v>22187</v>
      </c>
      <c r="I53" s="15">
        <f t="shared" si="2"/>
        <v>8874.8000000000011</v>
      </c>
      <c r="J53" s="15">
        <f t="shared" si="3"/>
        <v>13312.199999999997</v>
      </c>
      <c r="K53" s="15">
        <f t="shared" si="4"/>
        <v>2662.44</v>
      </c>
      <c r="L53" s="12">
        <v>200</v>
      </c>
      <c r="M53" s="12">
        <f t="shared" si="5"/>
        <v>208</v>
      </c>
      <c r="N53" s="15">
        <v>2</v>
      </c>
      <c r="O53" s="15">
        <f t="shared" si="6"/>
        <v>106.66826923076923</v>
      </c>
      <c r="P53" s="15">
        <f t="shared" si="7"/>
        <v>213.33653846153845</v>
      </c>
      <c r="Q53" s="15">
        <f t="shared" si="8"/>
        <v>426.67307692307691</v>
      </c>
      <c r="R53" s="12">
        <v>50812</v>
      </c>
      <c r="S53" s="15">
        <f t="shared" si="9"/>
        <v>59373</v>
      </c>
      <c r="T53" s="20">
        <f>S53/median_percentile!$B$1</f>
        <v>1.1780707759159499</v>
      </c>
      <c r="U53" s="24" t="str" cm="1">
        <f t="array" ref="U53">_xlfn.IFS(T53&lt;1,"underpaid",T53&gt;1,"overpaid",T53=1,"median pay")</f>
        <v>overpaid</v>
      </c>
      <c r="V53" s="5"/>
    </row>
    <row r="54" spans="1:22" x14ac:dyDescent="0.3">
      <c r="A54" s="21" t="s">
        <v>65</v>
      </c>
      <c r="B54" s="8" t="s">
        <v>1064</v>
      </c>
      <c r="C54" s="8" t="s">
        <v>2011</v>
      </c>
      <c r="D54" s="9">
        <v>44756</v>
      </c>
      <c r="E54" s="10">
        <f t="shared" si="0"/>
        <v>445680</v>
      </c>
      <c r="F54" s="8">
        <v>31833</v>
      </c>
      <c r="G54" s="8">
        <v>5307</v>
      </c>
      <c r="H54" s="11">
        <f t="shared" si="1"/>
        <v>15916.5</v>
      </c>
      <c r="I54" s="11">
        <f t="shared" si="2"/>
        <v>6366.6</v>
      </c>
      <c r="J54" s="11">
        <f t="shared" si="3"/>
        <v>9549.9000000000015</v>
      </c>
      <c r="K54" s="11">
        <f t="shared" si="4"/>
        <v>1909.98</v>
      </c>
      <c r="L54" s="8">
        <v>200</v>
      </c>
      <c r="M54" s="8">
        <f t="shared" si="5"/>
        <v>208</v>
      </c>
      <c r="N54" s="11">
        <v>0</v>
      </c>
      <c r="O54" s="11">
        <f t="shared" si="6"/>
        <v>76.521634615384613</v>
      </c>
      <c r="P54" s="11">
        <f t="shared" si="7"/>
        <v>153.04326923076923</v>
      </c>
      <c r="Q54" s="11">
        <f t="shared" si="8"/>
        <v>0</v>
      </c>
      <c r="R54" s="8">
        <v>35561</v>
      </c>
      <c r="S54" s="11">
        <f t="shared" si="9"/>
        <v>40868</v>
      </c>
      <c r="T54" s="20">
        <f>S54/median_percentile!$B$1</f>
        <v>0.81089714971675741</v>
      </c>
      <c r="U54" s="24" t="str" cm="1">
        <f t="array" ref="U54">_xlfn.IFS(T54&lt;1,"underpaid",T54&gt;1,"overpaid",T54=1,"median pay")</f>
        <v>underpaid</v>
      </c>
      <c r="V54" s="5"/>
    </row>
    <row r="55" spans="1:22" x14ac:dyDescent="0.3">
      <c r="A55" s="22" t="s">
        <v>66</v>
      </c>
      <c r="B55" s="12" t="s">
        <v>1065</v>
      </c>
      <c r="C55" s="12" t="s">
        <v>2015</v>
      </c>
      <c r="D55" s="13">
        <v>44688</v>
      </c>
      <c r="E55" s="14">
        <f t="shared" si="0"/>
        <v>419196</v>
      </c>
      <c r="F55" s="12">
        <v>30859</v>
      </c>
      <c r="G55" s="12">
        <v>4074</v>
      </c>
      <c r="H55" s="15">
        <f t="shared" si="1"/>
        <v>15429.5</v>
      </c>
      <c r="I55" s="15">
        <f t="shared" si="2"/>
        <v>6171.8</v>
      </c>
      <c r="J55" s="15">
        <f t="shared" si="3"/>
        <v>9257.7000000000007</v>
      </c>
      <c r="K55" s="15">
        <f t="shared" si="4"/>
        <v>1851.54</v>
      </c>
      <c r="L55" s="12">
        <v>200</v>
      </c>
      <c r="M55" s="12">
        <f t="shared" si="5"/>
        <v>208</v>
      </c>
      <c r="N55" s="15">
        <v>5</v>
      </c>
      <c r="O55" s="15">
        <f t="shared" si="6"/>
        <v>74.180288461538467</v>
      </c>
      <c r="P55" s="15">
        <f t="shared" si="7"/>
        <v>148.36057692307693</v>
      </c>
      <c r="Q55" s="15">
        <f t="shared" si="8"/>
        <v>741.80288461538464</v>
      </c>
      <c r="R55" s="12">
        <v>32882</v>
      </c>
      <c r="S55" s="15">
        <f t="shared" si="9"/>
        <v>36956</v>
      </c>
      <c r="T55" s="20">
        <f>S55/median_percentile!$B$1</f>
        <v>0.7332757919382521</v>
      </c>
      <c r="U55" s="24" t="str" cm="1">
        <f t="array" ref="U55">_xlfn.IFS(T55&lt;1,"underpaid",T55&gt;1,"overpaid",T55=1,"median pay")</f>
        <v>underpaid</v>
      </c>
      <c r="V55" s="5"/>
    </row>
    <row r="56" spans="1:22" x14ac:dyDescent="0.3">
      <c r="A56" s="21" t="s">
        <v>67</v>
      </c>
      <c r="B56" s="8" t="s">
        <v>1066</v>
      </c>
      <c r="C56" s="8" t="s">
        <v>2016</v>
      </c>
      <c r="D56" s="9">
        <v>45693</v>
      </c>
      <c r="E56" s="10">
        <f t="shared" si="0"/>
        <v>566472</v>
      </c>
      <c r="F56" s="8">
        <v>39450</v>
      </c>
      <c r="G56" s="8">
        <v>7756</v>
      </c>
      <c r="H56" s="11">
        <f t="shared" si="1"/>
        <v>19725</v>
      </c>
      <c r="I56" s="11">
        <f t="shared" si="2"/>
        <v>7890</v>
      </c>
      <c r="J56" s="11">
        <f t="shared" si="3"/>
        <v>11835</v>
      </c>
      <c r="K56" s="11">
        <f t="shared" si="4"/>
        <v>2367</v>
      </c>
      <c r="L56" s="8">
        <v>200</v>
      </c>
      <c r="M56" s="8">
        <f t="shared" si="5"/>
        <v>208</v>
      </c>
      <c r="N56" s="11">
        <v>3</v>
      </c>
      <c r="O56" s="11">
        <f t="shared" si="6"/>
        <v>94.831730769230774</v>
      </c>
      <c r="P56" s="11">
        <f t="shared" si="7"/>
        <v>189.66346153846155</v>
      </c>
      <c r="Q56" s="11">
        <f t="shared" si="8"/>
        <v>568.99038461538464</v>
      </c>
      <c r="R56" s="8">
        <v>45296</v>
      </c>
      <c r="S56" s="11">
        <f t="shared" si="9"/>
        <v>53052</v>
      </c>
      <c r="T56" s="20">
        <f>S56/median_percentile!$B$1</f>
        <v>1.0526503764993005</v>
      </c>
      <c r="U56" s="24" t="str" cm="1">
        <f t="array" ref="U56">_xlfn.IFS(T56&lt;1,"underpaid",T56&gt;1,"overpaid",T56=1,"median pay")</f>
        <v>overpaid</v>
      </c>
      <c r="V56" s="5"/>
    </row>
    <row r="57" spans="1:22" x14ac:dyDescent="0.3">
      <c r="A57" s="22" t="s">
        <v>68</v>
      </c>
      <c r="B57" s="12" t="s">
        <v>1067</v>
      </c>
      <c r="C57" s="12" t="s">
        <v>2015</v>
      </c>
      <c r="D57" s="13">
        <v>43947</v>
      </c>
      <c r="E57" s="14">
        <f t="shared" si="0"/>
        <v>457764</v>
      </c>
      <c r="F57" s="12">
        <v>32234</v>
      </c>
      <c r="G57" s="12">
        <v>5913</v>
      </c>
      <c r="H57" s="15">
        <f t="shared" si="1"/>
        <v>16117</v>
      </c>
      <c r="I57" s="15">
        <f t="shared" si="2"/>
        <v>6446.8</v>
      </c>
      <c r="J57" s="15">
        <f t="shared" si="3"/>
        <v>9670.2000000000007</v>
      </c>
      <c r="K57" s="15">
        <f t="shared" si="4"/>
        <v>1934.04</v>
      </c>
      <c r="L57" s="12">
        <v>200</v>
      </c>
      <c r="M57" s="12">
        <f t="shared" si="5"/>
        <v>208</v>
      </c>
      <c r="N57" s="15">
        <v>1</v>
      </c>
      <c r="O57" s="15">
        <f t="shared" si="6"/>
        <v>77.48557692307692</v>
      </c>
      <c r="P57" s="15">
        <f t="shared" si="7"/>
        <v>154.97115384615384</v>
      </c>
      <c r="Q57" s="15">
        <f t="shared" si="8"/>
        <v>154.97115384615384</v>
      </c>
      <c r="R57" s="12">
        <v>36550</v>
      </c>
      <c r="S57" s="15">
        <f t="shared" si="9"/>
        <v>42463</v>
      </c>
      <c r="T57" s="20">
        <f>S57/median_percentile!$B$1</f>
        <v>0.84254491701141898</v>
      </c>
      <c r="U57" s="24" t="str" cm="1">
        <f t="array" ref="U57">_xlfn.IFS(T57&lt;1,"underpaid",T57&gt;1,"overpaid",T57=1,"median pay")</f>
        <v>underpaid</v>
      </c>
      <c r="V57" s="5"/>
    </row>
    <row r="58" spans="1:22" x14ac:dyDescent="0.3">
      <c r="A58" s="21" t="s">
        <v>69</v>
      </c>
      <c r="B58" s="8" t="s">
        <v>1068</v>
      </c>
      <c r="C58" s="8" t="s">
        <v>2014</v>
      </c>
      <c r="D58" s="9">
        <v>44166</v>
      </c>
      <c r="E58" s="10">
        <f t="shared" si="0"/>
        <v>483564</v>
      </c>
      <c r="F58" s="8">
        <v>35904</v>
      </c>
      <c r="G58" s="8">
        <v>4393</v>
      </c>
      <c r="H58" s="11">
        <f t="shared" si="1"/>
        <v>17952</v>
      </c>
      <c r="I58" s="11">
        <f t="shared" si="2"/>
        <v>7180.8</v>
      </c>
      <c r="J58" s="11">
        <f t="shared" si="3"/>
        <v>10771.2</v>
      </c>
      <c r="K58" s="11">
        <f t="shared" si="4"/>
        <v>2154.2399999999998</v>
      </c>
      <c r="L58" s="8">
        <v>200</v>
      </c>
      <c r="M58" s="8">
        <f t="shared" si="5"/>
        <v>208</v>
      </c>
      <c r="N58" s="11">
        <v>2</v>
      </c>
      <c r="O58" s="11">
        <f t="shared" si="6"/>
        <v>86.307692307692307</v>
      </c>
      <c r="P58" s="11">
        <f t="shared" si="7"/>
        <v>172.61538461538461</v>
      </c>
      <c r="Q58" s="11">
        <f t="shared" si="8"/>
        <v>345.23076923076923</v>
      </c>
      <c r="R58" s="8">
        <v>37943</v>
      </c>
      <c r="S58" s="11">
        <f t="shared" si="9"/>
        <v>42336</v>
      </c>
      <c r="T58" s="20">
        <f>S58/median_percentile!$B$1</f>
        <v>0.84002500074406972</v>
      </c>
      <c r="U58" s="24" t="str" cm="1">
        <f t="array" ref="U58">_xlfn.IFS(T58&lt;1,"underpaid",T58&gt;1,"overpaid",T58=1,"median pay")</f>
        <v>underpaid</v>
      </c>
      <c r="V58" s="5"/>
    </row>
    <row r="59" spans="1:22" x14ac:dyDescent="0.3">
      <c r="A59" s="22" t="s">
        <v>70</v>
      </c>
      <c r="B59" s="12" t="s">
        <v>1069</v>
      </c>
      <c r="C59" s="12" t="s">
        <v>2014</v>
      </c>
      <c r="D59" s="13">
        <v>44378</v>
      </c>
      <c r="E59" s="14">
        <f t="shared" si="0"/>
        <v>690120</v>
      </c>
      <c r="F59" s="12">
        <v>49009</v>
      </c>
      <c r="G59" s="12">
        <v>8501</v>
      </c>
      <c r="H59" s="15">
        <f t="shared" si="1"/>
        <v>24504.5</v>
      </c>
      <c r="I59" s="15">
        <f t="shared" si="2"/>
        <v>9801.8000000000011</v>
      </c>
      <c r="J59" s="15">
        <f t="shared" si="3"/>
        <v>14702.699999999997</v>
      </c>
      <c r="K59" s="15">
        <f t="shared" si="4"/>
        <v>2940.54</v>
      </c>
      <c r="L59" s="12">
        <v>200</v>
      </c>
      <c r="M59" s="12">
        <f t="shared" si="5"/>
        <v>208</v>
      </c>
      <c r="N59" s="15">
        <v>4</v>
      </c>
      <c r="O59" s="15">
        <f t="shared" si="6"/>
        <v>117.81009615384616</v>
      </c>
      <c r="P59" s="15">
        <f t="shared" si="7"/>
        <v>235.62019230769232</v>
      </c>
      <c r="Q59" s="15">
        <f t="shared" si="8"/>
        <v>942.48076923076928</v>
      </c>
      <c r="R59" s="12">
        <v>54370</v>
      </c>
      <c r="S59" s="15">
        <f t="shared" si="9"/>
        <v>62871</v>
      </c>
      <c r="T59" s="20">
        <f>S59/median_percentile!$B$1</f>
        <v>1.2474776035001041</v>
      </c>
      <c r="U59" s="24" t="str" cm="1">
        <f t="array" ref="U59">_xlfn.IFS(T59&lt;1,"underpaid",T59&gt;1,"overpaid",T59=1,"median pay")</f>
        <v>overpaid</v>
      </c>
      <c r="V59" s="5"/>
    </row>
    <row r="60" spans="1:22" x14ac:dyDescent="0.3">
      <c r="A60" s="21" t="s">
        <v>71</v>
      </c>
      <c r="B60" s="8" t="s">
        <v>1070</v>
      </c>
      <c r="C60" s="8" t="s">
        <v>2013</v>
      </c>
      <c r="D60" s="9">
        <v>44429</v>
      </c>
      <c r="E60" s="10">
        <f t="shared" si="0"/>
        <v>598740</v>
      </c>
      <c r="F60" s="8">
        <v>42267</v>
      </c>
      <c r="G60" s="8">
        <v>7628</v>
      </c>
      <c r="H60" s="11">
        <f t="shared" si="1"/>
        <v>21133.5</v>
      </c>
      <c r="I60" s="11">
        <f t="shared" si="2"/>
        <v>8453.4</v>
      </c>
      <c r="J60" s="11">
        <f t="shared" si="3"/>
        <v>12680.099999999999</v>
      </c>
      <c r="K60" s="11">
        <f t="shared" si="4"/>
        <v>2536.02</v>
      </c>
      <c r="L60" s="8">
        <v>200</v>
      </c>
      <c r="M60" s="8">
        <f t="shared" si="5"/>
        <v>208</v>
      </c>
      <c r="N60" s="11">
        <v>2</v>
      </c>
      <c r="O60" s="11">
        <f t="shared" si="6"/>
        <v>101.60336538461539</v>
      </c>
      <c r="P60" s="11">
        <f t="shared" si="7"/>
        <v>203.20673076923077</v>
      </c>
      <c r="Q60" s="11">
        <f t="shared" si="8"/>
        <v>406.41346153846155</v>
      </c>
      <c r="R60" s="8">
        <v>47160</v>
      </c>
      <c r="S60" s="11">
        <f t="shared" si="9"/>
        <v>54788</v>
      </c>
      <c r="T60" s="20">
        <f>S60/median_percentile!$B$1</f>
        <v>1.087095846106531</v>
      </c>
      <c r="U60" s="24" t="str" cm="1">
        <f t="array" ref="U60">_xlfn.IFS(T60&lt;1,"underpaid",T60&gt;1,"overpaid",T60=1,"median pay")</f>
        <v>overpaid</v>
      </c>
      <c r="V60" s="5"/>
    </row>
    <row r="61" spans="1:22" x14ac:dyDescent="0.3">
      <c r="A61" s="22" t="s">
        <v>72</v>
      </c>
      <c r="B61" s="12" t="s">
        <v>1071</v>
      </c>
      <c r="C61" s="12" t="s">
        <v>2015</v>
      </c>
      <c r="D61" s="13">
        <v>45859</v>
      </c>
      <c r="E61" s="14">
        <f t="shared" si="0"/>
        <v>622284</v>
      </c>
      <c r="F61" s="12">
        <v>43290</v>
      </c>
      <c r="G61" s="12">
        <v>8567</v>
      </c>
      <c r="H61" s="15">
        <f t="shared" si="1"/>
        <v>21645</v>
      </c>
      <c r="I61" s="15">
        <f t="shared" si="2"/>
        <v>8658</v>
      </c>
      <c r="J61" s="15">
        <f t="shared" si="3"/>
        <v>12987</v>
      </c>
      <c r="K61" s="15">
        <f t="shared" si="4"/>
        <v>2597.4</v>
      </c>
      <c r="L61" s="12">
        <v>200</v>
      </c>
      <c r="M61" s="12">
        <f t="shared" si="5"/>
        <v>208</v>
      </c>
      <c r="N61" s="15">
        <v>1</v>
      </c>
      <c r="O61" s="15">
        <f t="shared" si="6"/>
        <v>104.0625</v>
      </c>
      <c r="P61" s="15">
        <f t="shared" si="7"/>
        <v>208.125</v>
      </c>
      <c r="Q61" s="15">
        <f t="shared" si="8"/>
        <v>208.125</v>
      </c>
      <c r="R61" s="12">
        <v>49060</v>
      </c>
      <c r="S61" s="15">
        <f t="shared" si="9"/>
        <v>57627</v>
      </c>
      <c r="T61" s="20">
        <f>S61/median_percentile!$B$1</f>
        <v>1.1434268877049911</v>
      </c>
      <c r="U61" s="24" t="str" cm="1">
        <f t="array" ref="U61">_xlfn.IFS(T61&lt;1,"underpaid",T61&gt;1,"overpaid",T61=1,"median pay")</f>
        <v>overpaid</v>
      </c>
      <c r="V61" s="5"/>
    </row>
    <row r="62" spans="1:22" x14ac:dyDescent="0.3">
      <c r="A62" s="21" t="s">
        <v>73</v>
      </c>
      <c r="B62" s="8" t="s">
        <v>1072</v>
      </c>
      <c r="C62" s="8" t="s">
        <v>2014</v>
      </c>
      <c r="D62" s="9">
        <v>45861</v>
      </c>
      <c r="E62" s="10">
        <f t="shared" si="0"/>
        <v>632280</v>
      </c>
      <c r="F62" s="8">
        <v>45780</v>
      </c>
      <c r="G62" s="8">
        <v>6910</v>
      </c>
      <c r="H62" s="11">
        <f t="shared" si="1"/>
        <v>22890</v>
      </c>
      <c r="I62" s="11">
        <f t="shared" si="2"/>
        <v>9156</v>
      </c>
      <c r="J62" s="11">
        <f t="shared" si="3"/>
        <v>13734</v>
      </c>
      <c r="K62" s="11">
        <f t="shared" si="4"/>
        <v>2746.7999999999997</v>
      </c>
      <c r="L62" s="8">
        <v>200</v>
      </c>
      <c r="M62" s="8">
        <f t="shared" si="5"/>
        <v>208</v>
      </c>
      <c r="N62" s="11">
        <v>3</v>
      </c>
      <c r="O62" s="11">
        <f t="shared" si="6"/>
        <v>110.04807692307692</v>
      </c>
      <c r="P62" s="11">
        <f t="shared" si="7"/>
        <v>220.09615384615384</v>
      </c>
      <c r="Q62" s="11">
        <f t="shared" si="8"/>
        <v>660.28846153846155</v>
      </c>
      <c r="R62" s="8">
        <v>49744</v>
      </c>
      <c r="S62" s="11">
        <f t="shared" si="9"/>
        <v>56654</v>
      </c>
      <c r="T62" s="20">
        <f>S62/median_percentile!$B$1</f>
        <v>1.124120757562229</v>
      </c>
      <c r="U62" s="24" t="str" cm="1">
        <f t="array" ref="U62">_xlfn.IFS(T62&lt;1,"underpaid",T62&gt;1,"overpaid",T62=1,"median pay")</f>
        <v>overpaid</v>
      </c>
      <c r="V62" s="5"/>
    </row>
    <row r="63" spans="1:22" x14ac:dyDescent="0.3">
      <c r="A63" s="22" t="s">
        <v>74</v>
      </c>
      <c r="B63" s="12" t="s">
        <v>1073</v>
      </c>
      <c r="C63" s="12" t="s">
        <v>2012</v>
      </c>
      <c r="D63" s="13">
        <v>44933</v>
      </c>
      <c r="E63" s="14">
        <f t="shared" si="0"/>
        <v>480708</v>
      </c>
      <c r="F63" s="12">
        <v>33572</v>
      </c>
      <c r="G63" s="12">
        <v>6487</v>
      </c>
      <c r="H63" s="15">
        <f t="shared" si="1"/>
        <v>16786</v>
      </c>
      <c r="I63" s="15">
        <f t="shared" si="2"/>
        <v>6714.4000000000005</v>
      </c>
      <c r="J63" s="15">
        <f t="shared" si="3"/>
        <v>10071.599999999999</v>
      </c>
      <c r="K63" s="15">
        <f t="shared" si="4"/>
        <v>2014.32</v>
      </c>
      <c r="L63" s="12">
        <v>200</v>
      </c>
      <c r="M63" s="12">
        <f t="shared" si="5"/>
        <v>208</v>
      </c>
      <c r="N63" s="15">
        <v>4</v>
      </c>
      <c r="O63" s="15">
        <f t="shared" si="6"/>
        <v>80.70192307692308</v>
      </c>
      <c r="P63" s="15">
        <f t="shared" si="7"/>
        <v>161.40384615384616</v>
      </c>
      <c r="Q63" s="15">
        <f t="shared" si="8"/>
        <v>645.61538461538464</v>
      </c>
      <c r="R63" s="12">
        <v>38124</v>
      </c>
      <c r="S63" s="15">
        <f t="shared" si="9"/>
        <v>44611</v>
      </c>
      <c r="T63" s="20">
        <f>S63/median_percentile!$B$1</f>
        <v>0.8851652330922547</v>
      </c>
      <c r="U63" s="24" t="str" cm="1">
        <f t="array" ref="U63">_xlfn.IFS(T63&lt;1,"underpaid",T63&gt;1,"overpaid",T63=1,"median pay")</f>
        <v>underpaid</v>
      </c>
      <c r="V63" s="5"/>
    </row>
    <row r="64" spans="1:22" x14ac:dyDescent="0.3">
      <c r="A64" s="21" t="s">
        <v>75</v>
      </c>
      <c r="B64" s="8" t="s">
        <v>1074</v>
      </c>
      <c r="C64" s="8" t="s">
        <v>2014</v>
      </c>
      <c r="D64" s="9">
        <v>45889</v>
      </c>
      <c r="E64" s="10">
        <f t="shared" si="0"/>
        <v>817728</v>
      </c>
      <c r="F64" s="8">
        <v>57173</v>
      </c>
      <c r="G64" s="8">
        <v>10971</v>
      </c>
      <c r="H64" s="11">
        <f t="shared" si="1"/>
        <v>28586.5</v>
      </c>
      <c r="I64" s="11">
        <f t="shared" si="2"/>
        <v>11434.6</v>
      </c>
      <c r="J64" s="11">
        <f t="shared" si="3"/>
        <v>17151.900000000001</v>
      </c>
      <c r="K64" s="11">
        <f t="shared" si="4"/>
        <v>3430.3799999999997</v>
      </c>
      <c r="L64" s="8">
        <v>200</v>
      </c>
      <c r="M64" s="8">
        <f t="shared" si="5"/>
        <v>208</v>
      </c>
      <c r="N64" s="11">
        <v>5</v>
      </c>
      <c r="O64" s="11">
        <f t="shared" si="6"/>
        <v>137.43509615384616</v>
      </c>
      <c r="P64" s="11">
        <f t="shared" si="7"/>
        <v>274.87019230769232</v>
      </c>
      <c r="Q64" s="11">
        <f t="shared" si="8"/>
        <v>1374.3509615384617</v>
      </c>
      <c r="R64" s="8">
        <v>64990</v>
      </c>
      <c r="S64" s="11">
        <f t="shared" si="9"/>
        <v>75961</v>
      </c>
      <c r="T64" s="20">
        <f>S64/median_percentile!$B$1</f>
        <v>1.5072075557804299</v>
      </c>
      <c r="U64" s="24" t="str" cm="1">
        <f t="array" ref="U64">_xlfn.IFS(T64&lt;1,"underpaid",T64&gt;1,"overpaid",T64=1,"median pay")</f>
        <v>overpaid</v>
      </c>
      <c r="V64" s="5"/>
    </row>
    <row r="65" spans="1:22" x14ac:dyDescent="0.3">
      <c r="A65" s="22" t="s">
        <v>76</v>
      </c>
      <c r="B65" s="12" t="s">
        <v>1075</v>
      </c>
      <c r="C65" s="12" t="s">
        <v>2014</v>
      </c>
      <c r="D65" s="13">
        <v>45378</v>
      </c>
      <c r="E65" s="14">
        <f t="shared" si="0"/>
        <v>936600</v>
      </c>
      <c r="F65" s="12">
        <v>66301</v>
      </c>
      <c r="G65" s="12">
        <v>11749</v>
      </c>
      <c r="H65" s="15">
        <f t="shared" si="1"/>
        <v>33150.5</v>
      </c>
      <c r="I65" s="15">
        <f t="shared" si="2"/>
        <v>13260.2</v>
      </c>
      <c r="J65" s="15">
        <f t="shared" si="3"/>
        <v>19890.300000000003</v>
      </c>
      <c r="K65" s="15">
        <f t="shared" si="4"/>
        <v>3978.06</v>
      </c>
      <c r="L65" s="12">
        <v>200</v>
      </c>
      <c r="M65" s="12">
        <f t="shared" si="5"/>
        <v>208</v>
      </c>
      <c r="N65" s="15">
        <v>3</v>
      </c>
      <c r="O65" s="15">
        <f t="shared" si="6"/>
        <v>159.37740384615384</v>
      </c>
      <c r="P65" s="15">
        <f t="shared" si="7"/>
        <v>318.75480769230768</v>
      </c>
      <c r="Q65" s="15">
        <f t="shared" si="8"/>
        <v>956.26442307692309</v>
      </c>
      <c r="R65" s="12">
        <v>73872</v>
      </c>
      <c r="S65" s="15">
        <f t="shared" si="9"/>
        <v>85621</v>
      </c>
      <c r="T65" s="20">
        <f>S65/median_percentile!$B$1</f>
        <v>1.6988799269819539</v>
      </c>
      <c r="U65" s="24" t="str" cm="1">
        <f t="array" ref="U65">_xlfn.IFS(T65&lt;1,"underpaid",T65&gt;1,"overpaid",T65=1,"median pay")</f>
        <v>overpaid</v>
      </c>
      <c r="V65" s="5"/>
    </row>
    <row r="66" spans="1:22" x14ac:dyDescent="0.3">
      <c r="A66" s="21" t="s">
        <v>77</v>
      </c>
      <c r="B66" s="8" t="s">
        <v>1076</v>
      </c>
      <c r="C66" s="8" t="s">
        <v>2016</v>
      </c>
      <c r="D66" s="9">
        <v>44637</v>
      </c>
      <c r="E66" s="10">
        <f t="shared" ref="E66:E129" si="10">(F66*12)+(G66*12)</f>
        <v>579060</v>
      </c>
      <c r="F66" s="8">
        <v>40530</v>
      </c>
      <c r="G66" s="8">
        <v>7725</v>
      </c>
      <c r="H66" s="11">
        <f t="shared" ref="H66:H129" si="11">F66*50%</f>
        <v>20265</v>
      </c>
      <c r="I66" s="11">
        <f t="shared" ref="I66:I129" si="12">H66*40%</f>
        <v>8106</v>
      </c>
      <c r="J66" s="11">
        <f t="shared" ref="J66:J129" si="13">F66-(H66+I66)</f>
        <v>12159</v>
      </c>
      <c r="K66" s="11">
        <f t="shared" ref="K66:K129" si="14">H66*12%</f>
        <v>2431.7999999999997</v>
      </c>
      <c r="L66" s="8">
        <v>200</v>
      </c>
      <c r="M66" s="8">
        <f t="shared" si="5"/>
        <v>208</v>
      </c>
      <c r="N66" s="11">
        <v>3</v>
      </c>
      <c r="O66" s="11">
        <f t="shared" si="6"/>
        <v>97.427884615384613</v>
      </c>
      <c r="P66" s="11">
        <f t="shared" si="7"/>
        <v>194.85576923076923</v>
      </c>
      <c r="Q66" s="11">
        <f t="shared" si="8"/>
        <v>584.56730769230762</v>
      </c>
      <c r="R66" s="8">
        <v>45624</v>
      </c>
      <c r="S66" s="11">
        <f t="shared" si="9"/>
        <v>53349</v>
      </c>
      <c r="T66" s="20">
        <f>S66/median_percentile!$B$1</f>
        <v>1.0585434090300307</v>
      </c>
      <c r="U66" s="24" t="str" cm="1">
        <f t="array" ref="U66">_xlfn.IFS(T66&lt;1,"underpaid",T66&gt;1,"overpaid",T66=1,"median pay")</f>
        <v>overpaid</v>
      </c>
      <c r="V66" s="5"/>
    </row>
    <row r="67" spans="1:22" x14ac:dyDescent="0.3">
      <c r="A67" s="22" t="s">
        <v>78</v>
      </c>
      <c r="B67" s="12" t="s">
        <v>1077</v>
      </c>
      <c r="C67" s="12" t="s">
        <v>2015</v>
      </c>
      <c r="D67" s="13">
        <v>43740</v>
      </c>
      <c r="E67" s="14">
        <f t="shared" si="10"/>
        <v>606132</v>
      </c>
      <c r="F67" s="12">
        <v>43575</v>
      </c>
      <c r="G67" s="12">
        <v>6936</v>
      </c>
      <c r="H67" s="15">
        <f t="shared" si="11"/>
        <v>21787.5</v>
      </c>
      <c r="I67" s="15">
        <f t="shared" si="12"/>
        <v>8715</v>
      </c>
      <c r="J67" s="15">
        <f t="shared" si="13"/>
        <v>13072.5</v>
      </c>
      <c r="K67" s="15">
        <f t="shared" si="14"/>
        <v>2614.5</v>
      </c>
      <c r="L67" s="12">
        <v>200</v>
      </c>
      <c r="M67" s="12">
        <f t="shared" ref="M67:M130" si="15">8*26</f>
        <v>208</v>
      </c>
      <c r="N67" s="15">
        <v>3</v>
      </c>
      <c r="O67" s="15">
        <f t="shared" ref="O67:O130" si="16">H67/M67</f>
        <v>104.74759615384616</v>
      </c>
      <c r="P67" s="15">
        <f t="shared" ref="P67:P130" si="17">O67*2</f>
        <v>209.49519230769232</v>
      </c>
      <c r="Q67" s="15">
        <f t="shared" ref="Q67:Q130" si="18">P67*N67</f>
        <v>628.48557692307691</v>
      </c>
      <c r="R67" s="12">
        <v>47697</v>
      </c>
      <c r="S67" s="15">
        <f t="shared" ref="S67:T130" si="19">R67+G67</f>
        <v>54633</v>
      </c>
      <c r="T67" s="20">
        <f>S67/median_percentile!$B$1</f>
        <v>1.0840203577487426</v>
      </c>
      <c r="U67" s="24" t="str" cm="1">
        <f t="array" ref="U67">_xlfn.IFS(T67&lt;1,"underpaid",T67&gt;1,"overpaid",T67=1,"median pay")</f>
        <v>overpaid</v>
      </c>
      <c r="V67" s="5"/>
    </row>
    <row r="68" spans="1:22" x14ac:dyDescent="0.3">
      <c r="A68" s="21" t="s">
        <v>79</v>
      </c>
      <c r="B68" s="8" t="s">
        <v>1078</v>
      </c>
      <c r="C68" s="8" t="s">
        <v>2015</v>
      </c>
      <c r="D68" s="9">
        <v>44740</v>
      </c>
      <c r="E68" s="10">
        <f t="shared" si="10"/>
        <v>635484</v>
      </c>
      <c r="F68" s="8">
        <v>45312</v>
      </c>
      <c r="G68" s="8">
        <v>7645</v>
      </c>
      <c r="H68" s="11">
        <f t="shared" si="11"/>
        <v>22656</v>
      </c>
      <c r="I68" s="11">
        <f t="shared" si="12"/>
        <v>9062.4</v>
      </c>
      <c r="J68" s="11">
        <f t="shared" si="13"/>
        <v>13593.599999999999</v>
      </c>
      <c r="K68" s="11">
        <f t="shared" si="14"/>
        <v>2718.72</v>
      </c>
      <c r="L68" s="8">
        <v>200</v>
      </c>
      <c r="M68" s="8">
        <f t="shared" si="15"/>
        <v>208</v>
      </c>
      <c r="N68" s="11">
        <v>0</v>
      </c>
      <c r="O68" s="11">
        <f t="shared" si="16"/>
        <v>108.92307692307692</v>
      </c>
      <c r="P68" s="11">
        <f t="shared" si="17"/>
        <v>217.84615384615384</v>
      </c>
      <c r="Q68" s="11">
        <f t="shared" si="18"/>
        <v>0</v>
      </c>
      <c r="R68" s="8">
        <v>50794</v>
      </c>
      <c r="S68" s="11">
        <f t="shared" si="19"/>
        <v>58439</v>
      </c>
      <c r="T68" s="20">
        <f>S68/median_percentile!$B$1</f>
        <v>1.1595384783277281</v>
      </c>
      <c r="U68" s="24" t="str" cm="1">
        <f t="array" ref="U68">_xlfn.IFS(T68&lt;1,"underpaid",T68&gt;1,"overpaid",T68=1,"median pay")</f>
        <v>overpaid</v>
      </c>
      <c r="V68" s="5"/>
    </row>
    <row r="69" spans="1:22" x14ac:dyDescent="0.3">
      <c r="A69" s="22" t="s">
        <v>80</v>
      </c>
      <c r="B69" s="12" t="s">
        <v>1079</v>
      </c>
      <c r="C69" s="12" t="s">
        <v>2016</v>
      </c>
      <c r="D69" s="13">
        <v>44550</v>
      </c>
      <c r="E69" s="14">
        <f t="shared" si="10"/>
        <v>509196</v>
      </c>
      <c r="F69" s="12">
        <v>37427</v>
      </c>
      <c r="G69" s="12">
        <v>5006</v>
      </c>
      <c r="H69" s="15">
        <f t="shared" si="11"/>
        <v>18713.5</v>
      </c>
      <c r="I69" s="15">
        <f t="shared" si="12"/>
        <v>7485.4000000000005</v>
      </c>
      <c r="J69" s="15">
        <f t="shared" si="13"/>
        <v>11228.099999999999</v>
      </c>
      <c r="K69" s="15">
        <f t="shared" si="14"/>
        <v>2245.62</v>
      </c>
      <c r="L69" s="12">
        <v>200</v>
      </c>
      <c r="M69" s="12">
        <f t="shared" si="15"/>
        <v>208</v>
      </c>
      <c r="N69" s="15">
        <v>1</v>
      </c>
      <c r="O69" s="15">
        <f t="shared" si="16"/>
        <v>89.96875</v>
      </c>
      <c r="P69" s="15">
        <f t="shared" si="17"/>
        <v>179.9375</v>
      </c>
      <c r="Q69" s="15">
        <f t="shared" si="18"/>
        <v>179.9375</v>
      </c>
      <c r="R69" s="12">
        <v>40611</v>
      </c>
      <c r="S69" s="15">
        <f t="shared" si="19"/>
        <v>45617</v>
      </c>
      <c r="T69" s="20">
        <f>S69/median_percentile!$B$1</f>
        <v>0.90512614462732022</v>
      </c>
      <c r="U69" s="24" t="str" cm="1">
        <f t="array" ref="U69">_xlfn.IFS(T69&lt;1,"underpaid",T69&gt;1,"overpaid",T69=1,"median pay")</f>
        <v>underpaid</v>
      </c>
      <c r="V69" s="5"/>
    </row>
    <row r="70" spans="1:22" x14ac:dyDescent="0.3">
      <c r="A70" s="21" t="s">
        <v>81</v>
      </c>
      <c r="B70" s="8" t="s">
        <v>1080</v>
      </c>
      <c r="C70" s="8" t="s">
        <v>2014</v>
      </c>
      <c r="D70" s="9">
        <v>45964</v>
      </c>
      <c r="E70" s="10">
        <f t="shared" si="10"/>
        <v>861432</v>
      </c>
      <c r="F70" s="8">
        <v>61116</v>
      </c>
      <c r="G70" s="8">
        <v>10670</v>
      </c>
      <c r="H70" s="11">
        <f t="shared" si="11"/>
        <v>30558</v>
      </c>
      <c r="I70" s="11">
        <f t="shared" si="12"/>
        <v>12223.2</v>
      </c>
      <c r="J70" s="11">
        <f t="shared" si="13"/>
        <v>18334.800000000003</v>
      </c>
      <c r="K70" s="11">
        <f t="shared" si="14"/>
        <v>3666.96</v>
      </c>
      <c r="L70" s="8">
        <v>200</v>
      </c>
      <c r="M70" s="8">
        <f t="shared" si="15"/>
        <v>208</v>
      </c>
      <c r="N70" s="11">
        <v>1</v>
      </c>
      <c r="O70" s="11">
        <f t="shared" si="16"/>
        <v>146.91346153846155</v>
      </c>
      <c r="P70" s="11">
        <f t="shared" si="17"/>
        <v>293.82692307692309</v>
      </c>
      <c r="Q70" s="11">
        <f t="shared" si="18"/>
        <v>293.82692307692309</v>
      </c>
      <c r="R70" s="8">
        <v>68938</v>
      </c>
      <c r="S70" s="11">
        <f t="shared" si="19"/>
        <v>79608</v>
      </c>
      <c r="T70" s="20">
        <f>S70/median_percentile!$B$1</f>
        <v>1.5795708205601358</v>
      </c>
      <c r="U70" s="24" t="str" cm="1">
        <f t="array" ref="U70">_xlfn.IFS(T70&lt;1,"underpaid",T70&gt;1,"overpaid",T70=1,"median pay")</f>
        <v>overpaid</v>
      </c>
      <c r="V70" s="5"/>
    </row>
    <row r="71" spans="1:22" x14ac:dyDescent="0.3">
      <c r="A71" s="22" t="s">
        <v>82</v>
      </c>
      <c r="B71" s="12" t="s">
        <v>1081</v>
      </c>
      <c r="C71" s="12" t="s">
        <v>2016</v>
      </c>
      <c r="D71" s="13">
        <v>43984</v>
      </c>
      <c r="E71" s="14">
        <f t="shared" si="10"/>
        <v>472740</v>
      </c>
      <c r="F71" s="12">
        <v>34324</v>
      </c>
      <c r="G71" s="12">
        <v>5071</v>
      </c>
      <c r="H71" s="15">
        <f t="shared" si="11"/>
        <v>17162</v>
      </c>
      <c r="I71" s="15">
        <f t="shared" si="12"/>
        <v>6864.8</v>
      </c>
      <c r="J71" s="15">
        <f t="shared" si="13"/>
        <v>10297.200000000001</v>
      </c>
      <c r="K71" s="15">
        <f t="shared" si="14"/>
        <v>2059.44</v>
      </c>
      <c r="L71" s="12">
        <v>200</v>
      </c>
      <c r="M71" s="12">
        <f t="shared" si="15"/>
        <v>208</v>
      </c>
      <c r="N71" s="15">
        <v>1</v>
      </c>
      <c r="O71" s="15">
        <f t="shared" si="16"/>
        <v>82.509615384615387</v>
      </c>
      <c r="P71" s="15">
        <f t="shared" si="17"/>
        <v>165.01923076923077</v>
      </c>
      <c r="Q71" s="15">
        <f t="shared" si="18"/>
        <v>165.01923076923077</v>
      </c>
      <c r="R71" s="12">
        <v>37708</v>
      </c>
      <c r="S71" s="15">
        <f t="shared" si="19"/>
        <v>42779</v>
      </c>
      <c r="T71" s="20">
        <f>S71/median_percentile!$B$1</f>
        <v>0.84881494488923281</v>
      </c>
      <c r="U71" s="24" t="str" cm="1">
        <f t="array" ref="U71">_xlfn.IFS(T71&lt;1,"underpaid",T71&gt;1,"overpaid",T71=1,"median pay")</f>
        <v>underpaid</v>
      </c>
      <c r="V71" s="5"/>
    </row>
    <row r="72" spans="1:22" x14ac:dyDescent="0.3">
      <c r="A72" s="21" t="s">
        <v>83</v>
      </c>
      <c r="B72" s="8" t="s">
        <v>1082</v>
      </c>
      <c r="C72" s="8" t="s">
        <v>2014</v>
      </c>
      <c r="D72" s="9">
        <v>45233</v>
      </c>
      <c r="E72" s="10">
        <f t="shared" si="10"/>
        <v>682236</v>
      </c>
      <c r="F72" s="8">
        <v>51334</v>
      </c>
      <c r="G72" s="8">
        <v>5519</v>
      </c>
      <c r="H72" s="11">
        <f t="shared" si="11"/>
        <v>25667</v>
      </c>
      <c r="I72" s="11">
        <f t="shared" si="12"/>
        <v>10266.800000000001</v>
      </c>
      <c r="J72" s="11">
        <f t="shared" si="13"/>
        <v>15400.199999999997</v>
      </c>
      <c r="K72" s="11">
        <f t="shared" si="14"/>
        <v>3080.04</v>
      </c>
      <c r="L72" s="8">
        <v>200</v>
      </c>
      <c r="M72" s="8">
        <f t="shared" si="15"/>
        <v>208</v>
      </c>
      <c r="N72" s="11">
        <v>4</v>
      </c>
      <c r="O72" s="11">
        <f t="shared" si="16"/>
        <v>123.39903846153847</v>
      </c>
      <c r="P72" s="11">
        <f t="shared" si="17"/>
        <v>246.79807692307693</v>
      </c>
      <c r="Q72" s="11">
        <f t="shared" si="18"/>
        <v>987.19230769230774</v>
      </c>
      <c r="R72" s="8">
        <v>53573</v>
      </c>
      <c r="S72" s="11">
        <f t="shared" si="19"/>
        <v>59092</v>
      </c>
      <c r="T72" s="20">
        <f>S72/median_percentile!$B$1</f>
        <v>1.172495213151185</v>
      </c>
      <c r="U72" s="24" t="str" cm="1">
        <f t="array" ref="U72">_xlfn.IFS(T72&lt;1,"underpaid",T72&gt;1,"overpaid",T72=1,"median pay")</f>
        <v>overpaid</v>
      </c>
      <c r="V72" s="5"/>
    </row>
    <row r="73" spans="1:22" x14ac:dyDescent="0.3">
      <c r="A73" s="22" t="s">
        <v>84</v>
      </c>
      <c r="B73" s="12" t="s">
        <v>1083</v>
      </c>
      <c r="C73" s="12" t="s">
        <v>2012</v>
      </c>
      <c r="D73" s="13">
        <v>45735</v>
      </c>
      <c r="E73" s="14">
        <f t="shared" si="10"/>
        <v>465216</v>
      </c>
      <c r="F73" s="12">
        <v>32363</v>
      </c>
      <c r="G73" s="12">
        <v>6405</v>
      </c>
      <c r="H73" s="15">
        <f t="shared" si="11"/>
        <v>16181.5</v>
      </c>
      <c r="I73" s="15">
        <f t="shared" si="12"/>
        <v>6472.6</v>
      </c>
      <c r="J73" s="15">
        <f t="shared" si="13"/>
        <v>9708.9000000000015</v>
      </c>
      <c r="K73" s="15">
        <f t="shared" si="14"/>
        <v>1941.78</v>
      </c>
      <c r="L73" s="12">
        <v>200</v>
      </c>
      <c r="M73" s="12">
        <f t="shared" si="15"/>
        <v>208</v>
      </c>
      <c r="N73" s="15">
        <v>3</v>
      </c>
      <c r="O73" s="15">
        <f t="shared" si="16"/>
        <v>77.79567307692308</v>
      </c>
      <c r="P73" s="15">
        <f t="shared" si="17"/>
        <v>155.59134615384616</v>
      </c>
      <c r="Q73" s="15">
        <f t="shared" si="18"/>
        <v>466.77403846153845</v>
      </c>
      <c r="R73" s="12">
        <v>36627</v>
      </c>
      <c r="S73" s="15">
        <f t="shared" si="19"/>
        <v>43032</v>
      </c>
      <c r="T73" s="20">
        <f>S73/median_percentile!$B$1</f>
        <v>0.85383493556355838</v>
      </c>
      <c r="U73" s="24" t="str" cm="1">
        <f t="array" ref="U73">_xlfn.IFS(T73&lt;1,"underpaid",T73&gt;1,"overpaid",T73=1,"median pay")</f>
        <v>underpaid</v>
      </c>
      <c r="V73" s="5"/>
    </row>
    <row r="74" spans="1:22" x14ac:dyDescent="0.3">
      <c r="A74" s="21" t="s">
        <v>85</v>
      </c>
      <c r="B74" s="8" t="s">
        <v>1084</v>
      </c>
      <c r="C74" s="8" t="s">
        <v>2015</v>
      </c>
      <c r="D74" s="9">
        <v>44861</v>
      </c>
      <c r="E74" s="10">
        <f t="shared" si="10"/>
        <v>532056</v>
      </c>
      <c r="F74" s="8">
        <v>38184</v>
      </c>
      <c r="G74" s="8">
        <v>6154</v>
      </c>
      <c r="H74" s="11">
        <f t="shared" si="11"/>
        <v>19092</v>
      </c>
      <c r="I74" s="11">
        <f t="shared" si="12"/>
        <v>7636.8</v>
      </c>
      <c r="J74" s="11">
        <f t="shared" si="13"/>
        <v>11455.2</v>
      </c>
      <c r="K74" s="11">
        <f t="shared" si="14"/>
        <v>2291.04</v>
      </c>
      <c r="L74" s="8">
        <v>200</v>
      </c>
      <c r="M74" s="8">
        <f t="shared" si="15"/>
        <v>208</v>
      </c>
      <c r="N74" s="11">
        <v>4</v>
      </c>
      <c r="O74" s="11">
        <f t="shared" si="16"/>
        <v>91.788461538461533</v>
      </c>
      <c r="P74" s="11">
        <f t="shared" si="17"/>
        <v>183.57692307692307</v>
      </c>
      <c r="Q74" s="11">
        <f t="shared" si="18"/>
        <v>734.30769230769226</v>
      </c>
      <c r="R74" s="8">
        <v>42165</v>
      </c>
      <c r="S74" s="11">
        <f t="shared" si="19"/>
        <v>48319</v>
      </c>
      <c r="T74" s="20">
        <f>S74/median_percentile!$B$1</f>
        <v>0.95873885135470305</v>
      </c>
      <c r="U74" s="24" t="str" cm="1">
        <f t="array" ref="U74">_xlfn.IFS(T74&lt;1,"underpaid",T74&gt;1,"overpaid",T74=1,"median pay")</f>
        <v>underpaid</v>
      </c>
      <c r="V74" s="5"/>
    </row>
    <row r="75" spans="1:22" x14ac:dyDescent="0.3">
      <c r="A75" s="22" t="s">
        <v>86</v>
      </c>
      <c r="B75" s="12" t="s">
        <v>1085</v>
      </c>
      <c r="C75" s="12" t="s">
        <v>2015</v>
      </c>
      <c r="D75" s="13">
        <v>44003</v>
      </c>
      <c r="E75" s="14">
        <f t="shared" si="10"/>
        <v>486012</v>
      </c>
      <c r="F75" s="12">
        <v>34710</v>
      </c>
      <c r="G75" s="12">
        <v>5791</v>
      </c>
      <c r="H75" s="15">
        <f t="shared" si="11"/>
        <v>17355</v>
      </c>
      <c r="I75" s="15">
        <f t="shared" si="12"/>
        <v>6942</v>
      </c>
      <c r="J75" s="15">
        <f t="shared" si="13"/>
        <v>10413</v>
      </c>
      <c r="K75" s="15">
        <f t="shared" si="14"/>
        <v>2082.6</v>
      </c>
      <c r="L75" s="12">
        <v>200</v>
      </c>
      <c r="M75" s="12">
        <f t="shared" si="15"/>
        <v>208</v>
      </c>
      <c r="N75" s="15">
        <v>3</v>
      </c>
      <c r="O75" s="15">
        <f t="shared" si="16"/>
        <v>83.4375</v>
      </c>
      <c r="P75" s="15">
        <f t="shared" si="17"/>
        <v>166.875</v>
      </c>
      <c r="Q75" s="15">
        <f t="shared" si="18"/>
        <v>500.625</v>
      </c>
      <c r="R75" s="12">
        <v>38219</v>
      </c>
      <c r="S75" s="15">
        <f t="shared" si="19"/>
        <v>44010</v>
      </c>
      <c r="T75" s="20">
        <f>S75/median_percentile!$B$1</f>
        <v>0.8732402750081848</v>
      </c>
      <c r="U75" s="24" t="str" cm="1">
        <f t="array" ref="U75">_xlfn.IFS(T75&lt;1,"underpaid",T75&gt;1,"overpaid",T75=1,"median pay")</f>
        <v>underpaid</v>
      </c>
      <c r="V75" s="5"/>
    </row>
    <row r="76" spans="1:22" x14ac:dyDescent="0.3">
      <c r="A76" s="21" t="s">
        <v>87</v>
      </c>
      <c r="B76" s="8" t="s">
        <v>1086</v>
      </c>
      <c r="C76" s="8" t="s">
        <v>2013</v>
      </c>
      <c r="D76" s="9">
        <v>44342</v>
      </c>
      <c r="E76" s="10">
        <f t="shared" si="10"/>
        <v>497736</v>
      </c>
      <c r="F76" s="8">
        <v>36895</v>
      </c>
      <c r="G76" s="8">
        <v>4583</v>
      </c>
      <c r="H76" s="11">
        <f t="shared" si="11"/>
        <v>18447.5</v>
      </c>
      <c r="I76" s="11">
        <f t="shared" si="12"/>
        <v>7379</v>
      </c>
      <c r="J76" s="11">
        <f t="shared" si="13"/>
        <v>11068.5</v>
      </c>
      <c r="K76" s="11">
        <f t="shared" si="14"/>
        <v>2213.6999999999998</v>
      </c>
      <c r="L76" s="8">
        <v>200</v>
      </c>
      <c r="M76" s="8">
        <f t="shared" si="15"/>
        <v>208</v>
      </c>
      <c r="N76" s="11">
        <v>2</v>
      </c>
      <c r="O76" s="11">
        <f t="shared" si="16"/>
        <v>88.68990384615384</v>
      </c>
      <c r="P76" s="11">
        <f t="shared" si="17"/>
        <v>177.37980769230768</v>
      </c>
      <c r="Q76" s="11">
        <f t="shared" si="18"/>
        <v>354.75961538461536</v>
      </c>
      <c r="R76" s="8">
        <v>39372</v>
      </c>
      <c r="S76" s="11">
        <f t="shared" si="19"/>
        <v>43955</v>
      </c>
      <c r="T76" s="20">
        <f>S76/median_percentile!$B$1</f>
        <v>0.87214897268767921</v>
      </c>
      <c r="U76" s="24" t="str" cm="1">
        <f t="array" ref="U76">_xlfn.IFS(T76&lt;1,"underpaid",T76&gt;1,"overpaid",T76=1,"median pay")</f>
        <v>underpaid</v>
      </c>
      <c r="V76" s="5"/>
    </row>
    <row r="77" spans="1:22" x14ac:dyDescent="0.3">
      <c r="A77" s="22" t="s">
        <v>88</v>
      </c>
      <c r="B77" s="12" t="s">
        <v>1087</v>
      </c>
      <c r="C77" s="12" t="s">
        <v>2011</v>
      </c>
      <c r="D77" s="13">
        <v>45387</v>
      </c>
      <c r="E77" s="14">
        <f t="shared" si="10"/>
        <v>518076</v>
      </c>
      <c r="F77" s="12">
        <v>35996</v>
      </c>
      <c r="G77" s="12">
        <v>7177</v>
      </c>
      <c r="H77" s="15">
        <f t="shared" si="11"/>
        <v>17998</v>
      </c>
      <c r="I77" s="15">
        <f t="shared" si="12"/>
        <v>7199.2000000000007</v>
      </c>
      <c r="J77" s="15">
        <f t="shared" si="13"/>
        <v>10798.8</v>
      </c>
      <c r="K77" s="15">
        <f t="shared" si="14"/>
        <v>2159.7599999999998</v>
      </c>
      <c r="L77" s="12">
        <v>200</v>
      </c>
      <c r="M77" s="12">
        <f t="shared" si="15"/>
        <v>208</v>
      </c>
      <c r="N77" s="15">
        <v>5</v>
      </c>
      <c r="O77" s="15">
        <f t="shared" si="16"/>
        <v>86.52884615384616</v>
      </c>
      <c r="P77" s="15">
        <f t="shared" si="17"/>
        <v>173.05769230769232</v>
      </c>
      <c r="Q77" s="15">
        <f t="shared" si="18"/>
        <v>865.28846153846166</v>
      </c>
      <c r="R77" s="12">
        <v>40814</v>
      </c>
      <c r="S77" s="15">
        <f t="shared" si="19"/>
        <v>47991</v>
      </c>
      <c r="T77" s="20">
        <f>S77/median_percentile!$B$1</f>
        <v>0.95223072115241525</v>
      </c>
      <c r="U77" s="24" t="str" cm="1">
        <f t="array" ref="U77">_xlfn.IFS(T77&lt;1,"underpaid",T77&gt;1,"overpaid",T77=1,"median pay")</f>
        <v>underpaid</v>
      </c>
      <c r="V77" s="5"/>
    </row>
    <row r="78" spans="1:22" x14ac:dyDescent="0.3">
      <c r="A78" s="21" t="s">
        <v>89</v>
      </c>
      <c r="B78" s="8" t="s">
        <v>1088</v>
      </c>
      <c r="C78" s="8" t="s">
        <v>2015</v>
      </c>
      <c r="D78" s="9">
        <v>45162</v>
      </c>
      <c r="E78" s="10">
        <f t="shared" si="10"/>
        <v>421560</v>
      </c>
      <c r="F78" s="8">
        <v>29359</v>
      </c>
      <c r="G78" s="8">
        <v>5771</v>
      </c>
      <c r="H78" s="11">
        <f t="shared" si="11"/>
        <v>14679.5</v>
      </c>
      <c r="I78" s="11">
        <f t="shared" si="12"/>
        <v>5871.8</v>
      </c>
      <c r="J78" s="11">
        <f t="shared" si="13"/>
        <v>8807.7000000000007</v>
      </c>
      <c r="K78" s="11">
        <f t="shared" si="14"/>
        <v>1761.54</v>
      </c>
      <c r="L78" s="8">
        <v>200</v>
      </c>
      <c r="M78" s="8">
        <f t="shared" si="15"/>
        <v>208</v>
      </c>
      <c r="N78" s="11">
        <v>4</v>
      </c>
      <c r="O78" s="11">
        <f t="shared" si="16"/>
        <v>70.574519230769226</v>
      </c>
      <c r="P78" s="11">
        <f t="shared" si="17"/>
        <v>141.14903846153845</v>
      </c>
      <c r="Q78" s="11">
        <f t="shared" si="18"/>
        <v>564.59615384615381</v>
      </c>
      <c r="R78" s="8">
        <v>33169</v>
      </c>
      <c r="S78" s="11">
        <f t="shared" si="19"/>
        <v>38940</v>
      </c>
      <c r="T78" s="20">
        <f>S78/median_percentile!$B$1</f>
        <v>0.77264204291794403</v>
      </c>
      <c r="U78" s="24" t="str" cm="1">
        <f t="array" ref="U78">_xlfn.IFS(T78&lt;1,"underpaid",T78&gt;1,"overpaid",T78=1,"median pay")</f>
        <v>underpaid</v>
      </c>
      <c r="V78" s="5"/>
    </row>
    <row r="79" spans="1:22" x14ac:dyDescent="0.3">
      <c r="A79" s="22" t="s">
        <v>90</v>
      </c>
      <c r="B79" s="12" t="s">
        <v>1089</v>
      </c>
      <c r="C79" s="12" t="s">
        <v>2015</v>
      </c>
      <c r="D79" s="13">
        <v>45173</v>
      </c>
      <c r="E79" s="14">
        <f t="shared" si="10"/>
        <v>653832</v>
      </c>
      <c r="F79" s="12">
        <v>47192</v>
      </c>
      <c r="G79" s="12">
        <v>7294</v>
      </c>
      <c r="H79" s="15">
        <f t="shared" si="11"/>
        <v>23596</v>
      </c>
      <c r="I79" s="15">
        <f t="shared" si="12"/>
        <v>9438.4</v>
      </c>
      <c r="J79" s="15">
        <f t="shared" si="13"/>
        <v>14157.599999999999</v>
      </c>
      <c r="K79" s="15">
        <f t="shared" si="14"/>
        <v>2831.52</v>
      </c>
      <c r="L79" s="12">
        <v>200</v>
      </c>
      <c r="M79" s="12">
        <f t="shared" si="15"/>
        <v>208</v>
      </c>
      <c r="N79" s="15">
        <v>1</v>
      </c>
      <c r="O79" s="15">
        <f t="shared" si="16"/>
        <v>113.44230769230769</v>
      </c>
      <c r="P79" s="15">
        <f t="shared" si="17"/>
        <v>226.88461538461539</v>
      </c>
      <c r="Q79" s="15">
        <f t="shared" si="18"/>
        <v>226.88461538461539</v>
      </c>
      <c r="R79" s="12">
        <v>51455</v>
      </c>
      <c r="S79" s="15">
        <f t="shared" si="19"/>
        <v>58749</v>
      </c>
      <c r="T79" s="20">
        <f>S79/median_percentile!$B$1</f>
        <v>1.1656894550433048</v>
      </c>
      <c r="U79" s="24" t="str" cm="1">
        <f t="array" ref="U79">_xlfn.IFS(T79&lt;1,"underpaid",T79&gt;1,"overpaid",T79=1,"median pay")</f>
        <v>overpaid</v>
      </c>
      <c r="V79" s="5"/>
    </row>
    <row r="80" spans="1:22" x14ac:dyDescent="0.3">
      <c r="A80" s="21" t="s">
        <v>91</v>
      </c>
      <c r="B80" s="8" t="s">
        <v>1090</v>
      </c>
      <c r="C80" s="8" t="s">
        <v>2011</v>
      </c>
      <c r="D80" s="9">
        <v>43633</v>
      </c>
      <c r="E80" s="10">
        <f t="shared" si="10"/>
        <v>587904</v>
      </c>
      <c r="F80" s="8">
        <v>43922</v>
      </c>
      <c r="G80" s="8">
        <v>5070</v>
      </c>
      <c r="H80" s="11">
        <f t="shared" si="11"/>
        <v>21961</v>
      </c>
      <c r="I80" s="11">
        <f t="shared" si="12"/>
        <v>8784.4</v>
      </c>
      <c r="J80" s="11">
        <f t="shared" si="13"/>
        <v>13176.599999999999</v>
      </c>
      <c r="K80" s="11">
        <f t="shared" si="14"/>
        <v>2635.3199999999997</v>
      </c>
      <c r="L80" s="8">
        <v>200</v>
      </c>
      <c r="M80" s="8">
        <f t="shared" si="15"/>
        <v>208</v>
      </c>
      <c r="N80" s="11">
        <v>3</v>
      </c>
      <c r="O80" s="11">
        <f t="shared" si="16"/>
        <v>105.58173076923077</v>
      </c>
      <c r="P80" s="11">
        <f t="shared" si="17"/>
        <v>211.16346153846155</v>
      </c>
      <c r="Q80" s="11">
        <f t="shared" si="18"/>
        <v>633.49038461538464</v>
      </c>
      <c r="R80" s="8">
        <v>46157</v>
      </c>
      <c r="S80" s="11">
        <f t="shared" si="19"/>
        <v>51227</v>
      </c>
      <c r="T80" s="20">
        <f>S80/median_percentile!$B$1</f>
        <v>1.0164389813188885</v>
      </c>
      <c r="U80" s="24" t="str" cm="1">
        <f t="array" ref="U80">_xlfn.IFS(T80&lt;1,"underpaid",T80&gt;1,"overpaid",T80=1,"median pay")</f>
        <v>overpaid</v>
      </c>
      <c r="V80" s="5"/>
    </row>
    <row r="81" spans="1:22" x14ac:dyDescent="0.3">
      <c r="A81" s="22" t="s">
        <v>92</v>
      </c>
      <c r="B81" s="12" t="s">
        <v>1091</v>
      </c>
      <c r="C81" s="12" t="s">
        <v>2013</v>
      </c>
      <c r="D81" s="13">
        <v>45400</v>
      </c>
      <c r="E81" s="14">
        <f t="shared" si="10"/>
        <v>525804</v>
      </c>
      <c r="F81" s="12">
        <v>38810</v>
      </c>
      <c r="G81" s="12">
        <v>5007</v>
      </c>
      <c r="H81" s="15">
        <f t="shared" si="11"/>
        <v>19405</v>
      </c>
      <c r="I81" s="15">
        <f t="shared" si="12"/>
        <v>7762</v>
      </c>
      <c r="J81" s="15">
        <f t="shared" si="13"/>
        <v>11643</v>
      </c>
      <c r="K81" s="15">
        <f t="shared" si="14"/>
        <v>2328.6</v>
      </c>
      <c r="L81" s="12">
        <v>200</v>
      </c>
      <c r="M81" s="12">
        <f t="shared" si="15"/>
        <v>208</v>
      </c>
      <c r="N81" s="15">
        <v>5</v>
      </c>
      <c r="O81" s="15">
        <f t="shared" si="16"/>
        <v>93.293269230769226</v>
      </c>
      <c r="P81" s="15">
        <f t="shared" si="17"/>
        <v>186.58653846153845</v>
      </c>
      <c r="Q81" s="15">
        <f t="shared" si="18"/>
        <v>932.93269230769226</v>
      </c>
      <c r="R81" s="12">
        <v>41289</v>
      </c>
      <c r="S81" s="15">
        <f t="shared" si="19"/>
        <v>46296</v>
      </c>
      <c r="T81" s="20">
        <f>S81/median_percentile!$B$1</f>
        <v>0.9185987678204709</v>
      </c>
      <c r="U81" s="24" t="str" cm="1">
        <f t="array" ref="U81">_xlfn.IFS(T81&lt;1,"underpaid",T81&gt;1,"overpaid",T81=1,"median pay")</f>
        <v>underpaid</v>
      </c>
      <c r="V81" s="5"/>
    </row>
    <row r="82" spans="1:22" x14ac:dyDescent="0.3">
      <c r="A82" s="21" t="s">
        <v>93</v>
      </c>
      <c r="B82" s="8" t="s">
        <v>1092</v>
      </c>
      <c r="C82" s="8" t="s">
        <v>2014</v>
      </c>
      <c r="D82" s="9">
        <v>44990</v>
      </c>
      <c r="E82" s="10">
        <f t="shared" si="10"/>
        <v>1035300</v>
      </c>
      <c r="F82" s="8">
        <v>75358</v>
      </c>
      <c r="G82" s="8">
        <v>10917</v>
      </c>
      <c r="H82" s="11">
        <f t="shared" si="11"/>
        <v>37679</v>
      </c>
      <c r="I82" s="11">
        <f t="shared" si="12"/>
        <v>15071.6</v>
      </c>
      <c r="J82" s="11">
        <f t="shared" si="13"/>
        <v>22607.4</v>
      </c>
      <c r="K82" s="11">
        <f t="shared" si="14"/>
        <v>4521.4799999999996</v>
      </c>
      <c r="L82" s="8">
        <v>200</v>
      </c>
      <c r="M82" s="8">
        <f t="shared" si="15"/>
        <v>208</v>
      </c>
      <c r="N82" s="11">
        <v>3</v>
      </c>
      <c r="O82" s="11">
        <f t="shared" si="16"/>
        <v>181.14903846153845</v>
      </c>
      <c r="P82" s="11">
        <f t="shared" si="17"/>
        <v>362.29807692307691</v>
      </c>
      <c r="Q82" s="11">
        <f t="shared" si="18"/>
        <v>1086.8942307692307</v>
      </c>
      <c r="R82" s="8">
        <v>81554</v>
      </c>
      <c r="S82" s="11">
        <f t="shared" si="19"/>
        <v>92471</v>
      </c>
      <c r="T82" s="20">
        <f>S82/median_percentile!$B$1</f>
        <v>1.8347966705358294</v>
      </c>
      <c r="U82" s="24" t="str" cm="1">
        <f t="array" ref="U82">_xlfn.IFS(T82&lt;1,"underpaid",T82&gt;1,"overpaid",T82=1,"median pay")</f>
        <v>overpaid</v>
      </c>
      <c r="V82" s="5"/>
    </row>
    <row r="83" spans="1:22" x14ac:dyDescent="0.3">
      <c r="A83" s="22" t="s">
        <v>94</v>
      </c>
      <c r="B83" s="12" t="s">
        <v>1093</v>
      </c>
      <c r="C83" s="12" t="s">
        <v>2016</v>
      </c>
      <c r="D83" s="13">
        <v>45822</v>
      </c>
      <c r="E83" s="14">
        <f t="shared" si="10"/>
        <v>493176</v>
      </c>
      <c r="F83" s="12">
        <v>34281</v>
      </c>
      <c r="G83" s="12">
        <v>6817</v>
      </c>
      <c r="H83" s="15">
        <f t="shared" si="11"/>
        <v>17140.5</v>
      </c>
      <c r="I83" s="15">
        <f t="shared" si="12"/>
        <v>6856.2000000000007</v>
      </c>
      <c r="J83" s="15">
        <f t="shared" si="13"/>
        <v>10284.299999999999</v>
      </c>
      <c r="K83" s="15">
        <f t="shared" si="14"/>
        <v>2056.86</v>
      </c>
      <c r="L83" s="12">
        <v>200</v>
      </c>
      <c r="M83" s="12">
        <f t="shared" si="15"/>
        <v>208</v>
      </c>
      <c r="N83" s="15">
        <v>0</v>
      </c>
      <c r="O83" s="15">
        <f t="shared" si="16"/>
        <v>82.40625</v>
      </c>
      <c r="P83" s="15">
        <f t="shared" si="17"/>
        <v>164.8125</v>
      </c>
      <c r="Q83" s="15">
        <f t="shared" si="18"/>
        <v>0</v>
      </c>
      <c r="R83" s="12">
        <v>38842</v>
      </c>
      <c r="S83" s="15">
        <f t="shared" si="19"/>
        <v>45659</v>
      </c>
      <c r="T83" s="20">
        <f>S83/median_percentile!$B$1</f>
        <v>0.9059595027629791</v>
      </c>
      <c r="U83" s="24" t="str" cm="1">
        <f t="array" ref="U83">_xlfn.IFS(T83&lt;1,"underpaid",T83&gt;1,"overpaid",T83=1,"median pay")</f>
        <v>underpaid</v>
      </c>
      <c r="V83" s="5"/>
    </row>
    <row r="84" spans="1:22" x14ac:dyDescent="0.3">
      <c r="A84" s="21" t="s">
        <v>95</v>
      </c>
      <c r="B84" s="8" t="s">
        <v>1094</v>
      </c>
      <c r="C84" s="8" t="s">
        <v>2011</v>
      </c>
      <c r="D84" s="9">
        <v>43985</v>
      </c>
      <c r="E84" s="10">
        <f t="shared" si="10"/>
        <v>357444</v>
      </c>
      <c r="F84" s="8">
        <v>27036</v>
      </c>
      <c r="G84" s="8">
        <v>2751</v>
      </c>
      <c r="H84" s="11">
        <f t="shared" si="11"/>
        <v>13518</v>
      </c>
      <c r="I84" s="11">
        <f t="shared" si="12"/>
        <v>5407.2000000000007</v>
      </c>
      <c r="J84" s="11">
        <f t="shared" si="13"/>
        <v>8110.7999999999993</v>
      </c>
      <c r="K84" s="11">
        <f t="shared" si="14"/>
        <v>1622.1599999999999</v>
      </c>
      <c r="L84" s="8">
        <v>200</v>
      </c>
      <c r="M84" s="8">
        <f t="shared" si="15"/>
        <v>208</v>
      </c>
      <c r="N84" s="11">
        <v>4</v>
      </c>
      <c r="O84" s="11">
        <f t="shared" si="16"/>
        <v>64.990384615384613</v>
      </c>
      <c r="P84" s="11">
        <f t="shared" si="17"/>
        <v>129.98076923076923</v>
      </c>
      <c r="Q84" s="11">
        <f t="shared" si="18"/>
        <v>519.92307692307691</v>
      </c>
      <c r="R84" s="8">
        <v>27965</v>
      </c>
      <c r="S84" s="11">
        <f t="shared" si="19"/>
        <v>30716</v>
      </c>
      <c r="T84" s="20">
        <f>S84/median_percentile!$B$1</f>
        <v>0.60946258321180191</v>
      </c>
      <c r="U84" s="24" t="str" cm="1">
        <f t="array" ref="U84">_xlfn.IFS(T84&lt;1,"underpaid",T84&gt;1,"overpaid",T84=1,"median pay")</f>
        <v>underpaid</v>
      </c>
      <c r="V84" s="5"/>
    </row>
    <row r="85" spans="1:22" x14ac:dyDescent="0.3">
      <c r="A85" s="22" t="s">
        <v>96</v>
      </c>
      <c r="B85" s="12" t="s">
        <v>1095</v>
      </c>
      <c r="C85" s="12" t="s">
        <v>2014</v>
      </c>
      <c r="D85" s="13">
        <v>44868</v>
      </c>
      <c r="E85" s="14">
        <f t="shared" si="10"/>
        <v>592332</v>
      </c>
      <c r="F85" s="12">
        <v>42688</v>
      </c>
      <c r="G85" s="12">
        <v>6673</v>
      </c>
      <c r="H85" s="15">
        <f t="shared" si="11"/>
        <v>21344</v>
      </c>
      <c r="I85" s="15">
        <f t="shared" si="12"/>
        <v>8537.6</v>
      </c>
      <c r="J85" s="15">
        <f t="shared" si="13"/>
        <v>12806.400000000001</v>
      </c>
      <c r="K85" s="15">
        <f t="shared" si="14"/>
        <v>2561.2799999999997</v>
      </c>
      <c r="L85" s="12">
        <v>200</v>
      </c>
      <c r="M85" s="12">
        <f t="shared" si="15"/>
        <v>208</v>
      </c>
      <c r="N85" s="15">
        <v>5</v>
      </c>
      <c r="O85" s="15">
        <f t="shared" si="16"/>
        <v>102.61538461538461</v>
      </c>
      <c r="P85" s="15">
        <f t="shared" si="17"/>
        <v>205.23076923076923</v>
      </c>
      <c r="Q85" s="15">
        <f t="shared" si="18"/>
        <v>1026.1538461538462</v>
      </c>
      <c r="R85" s="12">
        <v>46600</v>
      </c>
      <c r="S85" s="15">
        <f t="shared" si="19"/>
        <v>53273</v>
      </c>
      <c r="T85" s="20">
        <f>S85/median_percentile!$B$1</f>
        <v>1.0570354276416958</v>
      </c>
      <c r="U85" s="24" t="str" cm="1">
        <f t="array" ref="U85">_xlfn.IFS(T85&lt;1,"underpaid",T85&gt;1,"overpaid",T85=1,"median pay")</f>
        <v>overpaid</v>
      </c>
      <c r="V85" s="5"/>
    </row>
    <row r="86" spans="1:22" x14ac:dyDescent="0.3">
      <c r="A86" s="21" t="s">
        <v>97</v>
      </c>
      <c r="B86" s="8" t="s">
        <v>1096</v>
      </c>
      <c r="C86" s="8" t="s">
        <v>2016</v>
      </c>
      <c r="D86" s="9">
        <v>45127</v>
      </c>
      <c r="E86" s="10">
        <f t="shared" si="10"/>
        <v>355200</v>
      </c>
      <c r="F86" s="8">
        <v>25244</v>
      </c>
      <c r="G86" s="8">
        <v>4356</v>
      </c>
      <c r="H86" s="11">
        <f t="shared" si="11"/>
        <v>12622</v>
      </c>
      <c r="I86" s="11">
        <f t="shared" si="12"/>
        <v>5048.8</v>
      </c>
      <c r="J86" s="11">
        <f t="shared" si="13"/>
        <v>7573.2000000000007</v>
      </c>
      <c r="K86" s="11">
        <f t="shared" si="14"/>
        <v>1514.6399999999999</v>
      </c>
      <c r="L86" s="8">
        <v>200</v>
      </c>
      <c r="M86" s="8">
        <f t="shared" si="15"/>
        <v>208</v>
      </c>
      <c r="N86" s="11">
        <v>4</v>
      </c>
      <c r="O86" s="11">
        <f t="shared" si="16"/>
        <v>60.682692307692307</v>
      </c>
      <c r="P86" s="11">
        <f t="shared" si="17"/>
        <v>121.36538461538461</v>
      </c>
      <c r="Q86" s="11">
        <f t="shared" si="18"/>
        <v>485.46153846153845</v>
      </c>
      <c r="R86" s="8">
        <v>28096</v>
      </c>
      <c r="S86" s="11">
        <f t="shared" si="19"/>
        <v>32452</v>
      </c>
      <c r="T86" s="20">
        <f>S86/median_percentile!$B$1</f>
        <v>0.64390805281903229</v>
      </c>
      <c r="U86" s="24" t="str" cm="1">
        <f t="array" ref="U86">_xlfn.IFS(T86&lt;1,"underpaid",T86&gt;1,"overpaid",T86=1,"median pay")</f>
        <v>underpaid</v>
      </c>
      <c r="V86" s="5"/>
    </row>
    <row r="87" spans="1:22" x14ac:dyDescent="0.3">
      <c r="A87" s="22" t="s">
        <v>98</v>
      </c>
      <c r="B87" s="12" t="s">
        <v>1097</v>
      </c>
      <c r="C87" s="12" t="s">
        <v>2014</v>
      </c>
      <c r="D87" s="13">
        <v>45281</v>
      </c>
      <c r="E87" s="14">
        <f t="shared" si="10"/>
        <v>973692</v>
      </c>
      <c r="F87" s="12">
        <v>72824</v>
      </c>
      <c r="G87" s="12">
        <v>8317</v>
      </c>
      <c r="H87" s="15">
        <f t="shared" si="11"/>
        <v>36412</v>
      </c>
      <c r="I87" s="15">
        <f t="shared" si="12"/>
        <v>14564.800000000001</v>
      </c>
      <c r="J87" s="15">
        <f t="shared" si="13"/>
        <v>21847.199999999997</v>
      </c>
      <c r="K87" s="15">
        <f t="shared" si="14"/>
        <v>4369.4399999999996</v>
      </c>
      <c r="L87" s="12">
        <v>200</v>
      </c>
      <c r="M87" s="12">
        <f t="shared" si="15"/>
        <v>208</v>
      </c>
      <c r="N87" s="15">
        <v>2</v>
      </c>
      <c r="O87" s="15">
        <f t="shared" si="16"/>
        <v>175.05769230769232</v>
      </c>
      <c r="P87" s="15">
        <f t="shared" si="17"/>
        <v>350.11538461538464</v>
      </c>
      <c r="Q87" s="15">
        <f t="shared" si="18"/>
        <v>700.23076923076928</v>
      </c>
      <c r="R87" s="12">
        <v>77785</v>
      </c>
      <c r="S87" s="15">
        <f t="shared" si="19"/>
        <v>86102</v>
      </c>
      <c r="T87" s="20">
        <f>S87/median_percentile!$B$1</f>
        <v>1.7084238618212844</v>
      </c>
      <c r="U87" s="24" t="str" cm="1">
        <f t="array" ref="U87">_xlfn.IFS(T87&lt;1,"underpaid",T87&gt;1,"overpaid",T87=1,"median pay")</f>
        <v>overpaid</v>
      </c>
      <c r="V87" s="5"/>
    </row>
    <row r="88" spans="1:22" x14ac:dyDescent="0.3">
      <c r="A88" s="21" t="s">
        <v>99</v>
      </c>
      <c r="B88" s="8" t="s">
        <v>1098</v>
      </c>
      <c r="C88" s="8" t="s">
        <v>2012</v>
      </c>
      <c r="D88" s="9">
        <v>43696</v>
      </c>
      <c r="E88" s="10">
        <f t="shared" si="10"/>
        <v>463032</v>
      </c>
      <c r="F88" s="8">
        <v>32777</v>
      </c>
      <c r="G88" s="8">
        <v>5809</v>
      </c>
      <c r="H88" s="11">
        <f t="shared" si="11"/>
        <v>16388.5</v>
      </c>
      <c r="I88" s="11">
        <f t="shared" si="12"/>
        <v>6555.4000000000005</v>
      </c>
      <c r="J88" s="11">
        <f t="shared" si="13"/>
        <v>9833.0999999999985</v>
      </c>
      <c r="K88" s="11">
        <f t="shared" si="14"/>
        <v>1966.62</v>
      </c>
      <c r="L88" s="8">
        <v>200</v>
      </c>
      <c r="M88" s="8">
        <f t="shared" si="15"/>
        <v>208</v>
      </c>
      <c r="N88" s="11">
        <v>3</v>
      </c>
      <c r="O88" s="11">
        <f t="shared" si="16"/>
        <v>78.790865384615387</v>
      </c>
      <c r="P88" s="11">
        <f t="shared" si="17"/>
        <v>157.58173076923077</v>
      </c>
      <c r="Q88" s="11">
        <f t="shared" si="18"/>
        <v>472.74519230769232</v>
      </c>
      <c r="R88" s="8">
        <v>36420</v>
      </c>
      <c r="S88" s="11">
        <f t="shared" si="19"/>
        <v>42229</v>
      </c>
      <c r="T88" s="20">
        <f>S88/median_percentile!$B$1</f>
        <v>0.8379019216841771</v>
      </c>
      <c r="U88" s="24" t="str" cm="1">
        <f t="array" ref="U88">_xlfn.IFS(T88&lt;1,"underpaid",T88&gt;1,"overpaid",T88=1,"median pay")</f>
        <v>underpaid</v>
      </c>
      <c r="V88" s="5"/>
    </row>
    <row r="89" spans="1:22" x14ac:dyDescent="0.3">
      <c r="A89" s="22" t="s">
        <v>100</v>
      </c>
      <c r="B89" s="12" t="s">
        <v>1099</v>
      </c>
      <c r="C89" s="12" t="s">
        <v>2012</v>
      </c>
      <c r="D89" s="13">
        <v>45036</v>
      </c>
      <c r="E89" s="14">
        <f t="shared" si="10"/>
        <v>433968</v>
      </c>
      <c r="F89" s="12">
        <v>30173</v>
      </c>
      <c r="G89" s="12">
        <v>5991</v>
      </c>
      <c r="H89" s="15">
        <f t="shared" si="11"/>
        <v>15086.5</v>
      </c>
      <c r="I89" s="15">
        <f t="shared" si="12"/>
        <v>6034.6</v>
      </c>
      <c r="J89" s="15">
        <f t="shared" si="13"/>
        <v>9051.9000000000015</v>
      </c>
      <c r="K89" s="15">
        <f t="shared" si="14"/>
        <v>1810.3799999999999</v>
      </c>
      <c r="L89" s="12">
        <v>200</v>
      </c>
      <c r="M89" s="12">
        <f t="shared" si="15"/>
        <v>208</v>
      </c>
      <c r="N89" s="15">
        <v>1</v>
      </c>
      <c r="O89" s="15">
        <f t="shared" si="16"/>
        <v>72.53125</v>
      </c>
      <c r="P89" s="15">
        <f t="shared" si="17"/>
        <v>145.0625</v>
      </c>
      <c r="Q89" s="15">
        <f t="shared" si="18"/>
        <v>145.0625</v>
      </c>
      <c r="R89" s="12">
        <v>34154</v>
      </c>
      <c r="S89" s="15">
        <f t="shared" si="19"/>
        <v>40145</v>
      </c>
      <c r="T89" s="20">
        <f>S89/median_percentile!$B$1</f>
        <v>0.79655148466720238</v>
      </c>
      <c r="U89" s="24" t="str" cm="1">
        <f t="array" ref="U89">_xlfn.IFS(T89&lt;1,"underpaid",T89&gt;1,"overpaid",T89=1,"median pay")</f>
        <v>underpaid</v>
      </c>
      <c r="V89" s="5"/>
    </row>
    <row r="90" spans="1:22" x14ac:dyDescent="0.3">
      <c r="A90" s="21" t="s">
        <v>101</v>
      </c>
      <c r="B90" s="8" t="s">
        <v>1100</v>
      </c>
      <c r="C90" s="8" t="s">
        <v>2015</v>
      </c>
      <c r="D90" s="9">
        <v>44232</v>
      </c>
      <c r="E90" s="10">
        <f t="shared" si="10"/>
        <v>519864</v>
      </c>
      <c r="F90" s="8">
        <v>39279</v>
      </c>
      <c r="G90" s="8">
        <v>4043</v>
      </c>
      <c r="H90" s="11">
        <f t="shared" si="11"/>
        <v>19639.5</v>
      </c>
      <c r="I90" s="11">
        <f t="shared" si="12"/>
        <v>7855.8</v>
      </c>
      <c r="J90" s="11">
        <f t="shared" si="13"/>
        <v>11783.7</v>
      </c>
      <c r="K90" s="11">
        <f t="shared" si="14"/>
        <v>2356.7399999999998</v>
      </c>
      <c r="L90" s="8">
        <v>200</v>
      </c>
      <c r="M90" s="8">
        <f t="shared" si="15"/>
        <v>208</v>
      </c>
      <c r="N90" s="11">
        <v>0</v>
      </c>
      <c r="O90" s="11">
        <f t="shared" si="16"/>
        <v>94.42067307692308</v>
      </c>
      <c r="P90" s="11">
        <f t="shared" si="17"/>
        <v>188.84134615384616</v>
      </c>
      <c r="Q90" s="11">
        <f t="shared" si="18"/>
        <v>0</v>
      </c>
      <c r="R90" s="8">
        <v>41420</v>
      </c>
      <c r="S90" s="11">
        <f t="shared" si="19"/>
        <v>45463</v>
      </c>
      <c r="T90" s="20">
        <f>S90/median_percentile!$B$1</f>
        <v>0.9020704981299047</v>
      </c>
      <c r="U90" s="24" t="str" cm="1">
        <f t="array" ref="U90">_xlfn.IFS(T90&lt;1,"underpaid",T90&gt;1,"overpaid",T90=1,"median pay")</f>
        <v>underpaid</v>
      </c>
      <c r="V90" s="5"/>
    </row>
    <row r="91" spans="1:22" x14ac:dyDescent="0.3">
      <c r="A91" s="22" t="s">
        <v>102</v>
      </c>
      <c r="B91" s="12" t="s">
        <v>1101</v>
      </c>
      <c r="C91" s="12" t="s">
        <v>2016</v>
      </c>
      <c r="D91" s="13">
        <v>44085</v>
      </c>
      <c r="E91" s="14">
        <f t="shared" si="10"/>
        <v>660756</v>
      </c>
      <c r="F91" s="12">
        <v>47548</v>
      </c>
      <c r="G91" s="12">
        <v>7515</v>
      </c>
      <c r="H91" s="15">
        <f t="shared" si="11"/>
        <v>23774</v>
      </c>
      <c r="I91" s="15">
        <f t="shared" si="12"/>
        <v>9509.6</v>
      </c>
      <c r="J91" s="15">
        <f t="shared" si="13"/>
        <v>14264.400000000001</v>
      </c>
      <c r="K91" s="15">
        <f t="shared" si="14"/>
        <v>2852.88</v>
      </c>
      <c r="L91" s="12">
        <v>200</v>
      </c>
      <c r="M91" s="12">
        <f t="shared" si="15"/>
        <v>208</v>
      </c>
      <c r="N91" s="15">
        <v>0</v>
      </c>
      <c r="O91" s="15">
        <f t="shared" si="16"/>
        <v>114.29807692307692</v>
      </c>
      <c r="P91" s="15">
        <f t="shared" si="17"/>
        <v>228.59615384615384</v>
      </c>
      <c r="Q91" s="15">
        <f t="shared" si="18"/>
        <v>0</v>
      </c>
      <c r="R91" s="12">
        <v>52011</v>
      </c>
      <c r="S91" s="15">
        <f t="shared" si="19"/>
        <v>59526</v>
      </c>
      <c r="T91" s="20">
        <f>S91/median_percentile!$B$1</f>
        <v>1.1811065805529926</v>
      </c>
      <c r="U91" s="24" t="str" cm="1">
        <f t="array" ref="U91">_xlfn.IFS(T91&lt;1,"underpaid",T91&gt;1,"overpaid",T91=1,"median pay")</f>
        <v>overpaid</v>
      </c>
      <c r="V91" s="5"/>
    </row>
    <row r="92" spans="1:22" x14ac:dyDescent="0.3">
      <c r="A92" s="21" t="s">
        <v>103</v>
      </c>
      <c r="B92" s="8" t="s">
        <v>1102</v>
      </c>
      <c r="C92" s="8" t="s">
        <v>2014</v>
      </c>
      <c r="D92" s="9">
        <v>45390</v>
      </c>
      <c r="E92" s="10">
        <f t="shared" si="10"/>
        <v>657348</v>
      </c>
      <c r="F92" s="8">
        <v>49795</v>
      </c>
      <c r="G92" s="8">
        <v>4984</v>
      </c>
      <c r="H92" s="11">
        <f t="shared" si="11"/>
        <v>24897.5</v>
      </c>
      <c r="I92" s="11">
        <f t="shared" si="12"/>
        <v>9959</v>
      </c>
      <c r="J92" s="11">
        <f t="shared" si="13"/>
        <v>14938.5</v>
      </c>
      <c r="K92" s="11">
        <f t="shared" si="14"/>
        <v>2987.7</v>
      </c>
      <c r="L92" s="8">
        <v>200</v>
      </c>
      <c r="M92" s="8">
        <f t="shared" si="15"/>
        <v>208</v>
      </c>
      <c r="N92" s="11">
        <v>5</v>
      </c>
      <c r="O92" s="11">
        <f t="shared" si="16"/>
        <v>119.69951923076923</v>
      </c>
      <c r="P92" s="11">
        <f t="shared" si="17"/>
        <v>239.39903846153845</v>
      </c>
      <c r="Q92" s="11">
        <f t="shared" si="18"/>
        <v>1196.9951923076924</v>
      </c>
      <c r="R92" s="8">
        <v>51592</v>
      </c>
      <c r="S92" s="11">
        <f t="shared" si="19"/>
        <v>56576</v>
      </c>
      <c r="T92" s="20">
        <f>S92/median_percentile!$B$1</f>
        <v>1.1225730924531485</v>
      </c>
      <c r="U92" s="24" t="str" cm="1">
        <f t="array" ref="U92">_xlfn.IFS(T92&lt;1,"underpaid",T92&gt;1,"overpaid",T92=1,"median pay")</f>
        <v>overpaid</v>
      </c>
      <c r="V92" s="5"/>
    </row>
    <row r="93" spans="1:22" x14ac:dyDescent="0.3">
      <c r="A93" s="22" t="s">
        <v>104</v>
      </c>
      <c r="B93" s="12" t="s">
        <v>1103</v>
      </c>
      <c r="C93" s="12" t="s">
        <v>2013</v>
      </c>
      <c r="D93" s="13">
        <v>45625</v>
      </c>
      <c r="E93" s="14">
        <f t="shared" si="10"/>
        <v>519348</v>
      </c>
      <c r="F93" s="12">
        <v>36589</v>
      </c>
      <c r="G93" s="12">
        <v>6690</v>
      </c>
      <c r="H93" s="15">
        <f t="shared" si="11"/>
        <v>18294.5</v>
      </c>
      <c r="I93" s="15">
        <f t="shared" si="12"/>
        <v>7317.8</v>
      </c>
      <c r="J93" s="15">
        <f t="shared" si="13"/>
        <v>10976.7</v>
      </c>
      <c r="K93" s="15">
        <f t="shared" si="14"/>
        <v>2195.34</v>
      </c>
      <c r="L93" s="12">
        <v>200</v>
      </c>
      <c r="M93" s="12">
        <f t="shared" si="15"/>
        <v>208</v>
      </c>
      <c r="N93" s="15">
        <v>2</v>
      </c>
      <c r="O93" s="15">
        <f t="shared" si="16"/>
        <v>87.95432692307692</v>
      </c>
      <c r="P93" s="15">
        <f t="shared" si="17"/>
        <v>175.90865384615384</v>
      </c>
      <c r="Q93" s="15">
        <f t="shared" si="18"/>
        <v>351.81730769230768</v>
      </c>
      <c r="R93" s="12">
        <v>40884</v>
      </c>
      <c r="S93" s="15">
        <f t="shared" si="19"/>
        <v>47574</v>
      </c>
      <c r="T93" s="20">
        <f>S93/median_percentile!$B$1</f>
        <v>0.94395666537694578</v>
      </c>
      <c r="U93" s="24" t="str" cm="1">
        <f t="array" ref="U93">_xlfn.IFS(T93&lt;1,"underpaid",T93&gt;1,"overpaid",T93=1,"median pay")</f>
        <v>underpaid</v>
      </c>
      <c r="V93" s="5"/>
    </row>
    <row r="94" spans="1:22" x14ac:dyDescent="0.3">
      <c r="A94" s="21" t="s">
        <v>105</v>
      </c>
      <c r="B94" s="8" t="s">
        <v>1104</v>
      </c>
      <c r="C94" s="8" t="s">
        <v>2012</v>
      </c>
      <c r="D94" s="9">
        <v>44692</v>
      </c>
      <c r="E94" s="10">
        <f t="shared" si="10"/>
        <v>369312</v>
      </c>
      <c r="F94" s="8">
        <v>26831</v>
      </c>
      <c r="G94" s="8">
        <v>3945</v>
      </c>
      <c r="H94" s="11">
        <f t="shared" si="11"/>
        <v>13415.5</v>
      </c>
      <c r="I94" s="11">
        <f t="shared" si="12"/>
        <v>5366.2000000000007</v>
      </c>
      <c r="J94" s="11">
        <f t="shared" si="13"/>
        <v>8049.2999999999993</v>
      </c>
      <c r="K94" s="11">
        <f t="shared" si="14"/>
        <v>1609.86</v>
      </c>
      <c r="L94" s="8">
        <v>200</v>
      </c>
      <c r="M94" s="8">
        <f t="shared" si="15"/>
        <v>208</v>
      </c>
      <c r="N94" s="11">
        <v>1</v>
      </c>
      <c r="O94" s="11">
        <f t="shared" si="16"/>
        <v>64.49759615384616</v>
      </c>
      <c r="P94" s="11">
        <f t="shared" si="17"/>
        <v>128.99519230769232</v>
      </c>
      <c r="Q94" s="11">
        <f t="shared" si="18"/>
        <v>128.99519230769232</v>
      </c>
      <c r="R94" s="8">
        <v>28967</v>
      </c>
      <c r="S94" s="11">
        <f t="shared" si="19"/>
        <v>32912</v>
      </c>
      <c r="T94" s="20">
        <f>S94/median_percentile!$B$1</f>
        <v>0.65303530859053349</v>
      </c>
      <c r="U94" s="24" t="str" cm="1">
        <f t="array" ref="U94">_xlfn.IFS(T94&lt;1,"underpaid",T94&gt;1,"overpaid",T94=1,"median pay")</f>
        <v>underpaid</v>
      </c>
      <c r="V94" s="5"/>
    </row>
    <row r="95" spans="1:22" x14ac:dyDescent="0.3">
      <c r="A95" s="22" t="s">
        <v>106</v>
      </c>
      <c r="B95" s="12" t="s">
        <v>1105</v>
      </c>
      <c r="C95" s="12" t="s">
        <v>2011</v>
      </c>
      <c r="D95" s="13">
        <v>45414</v>
      </c>
      <c r="E95" s="14">
        <f t="shared" si="10"/>
        <v>331668</v>
      </c>
      <c r="F95" s="12">
        <v>24708</v>
      </c>
      <c r="G95" s="12">
        <v>2931</v>
      </c>
      <c r="H95" s="15">
        <f t="shared" si="11"/>
        <v>12354</v>
      </c>
      <c r="I95" s="15">
        <f t="shared" si="12"/>
        <v>4941.6000000000004</v>
      </c>
      <c r="J95" s="15">
        <f t="shared" si="13"/>
        <v>7412.4000000000015</v>
      </c>
      <c r="K95" s="15">
        <f t="shared" si="14"/>
        <v>1482.48</v>
      </c>
      <c r="L95" s="12">
        <v>200</v>
      </c>
      <c r="M95" s="12">
        <f t="shared" si="15"/>
        <v>208</v>
      </c>
      <c r="N95" s="15">
        <v>1</v>
      </c>
      <c r="O95" s="15">
        <f t="shared" si="16"/>
        <v>59.394230769230766</v>
      </c>
      <c r="P95" s="15">
        <f t="shared" si="17"/>
        <v>118.78846153846153</v>
      </c>
      <c r="Q95" s="15">
        <f t="shared" si="18"/>
        <v>118.78846153846153</v>
      </c>
      <c r="R95" s="12">
        <v>26368</v>
      </c>
      <c r="S95" s="15">
        <f t="shared" si="19"/>
        <v>29299</v>
      </c>
      <c r="T95" s="20">
        <f>S95/median_percentile!$B$1</f>
        <v>0.58134666706350391</v>
      </c>
      <c r="U95" s="24" t="str" cm="1">
        <f t="array" ref="U95">_xlfn.IFS(T95&lt;1,"underpaid",T95&gt;1,"overpaid",T95=1,"median pay")</f>
        <v>underpaid</v>
      </c>
      <c r="V95" s="5"/>
    </row>
    <row r="96" spans="1:22" x14ac:dyDescent="0.3">
      <c r="A96" s="21" t="s">
        <v>107</v>
      </c>
      <c r="B96" s="8" t="s">
        <v>1106</v>
      </c>
      <c r="C96" s="8" t="s">
        <v>2013</v>
      </c>
      <c r="D96" s="9">
        <v>44915</v>
      </c>
      <c r="E96" s="10">
        <f t="shared" si="10"/>
        <v>452388</v>
      </c>
      <c r="F96" s="8">
        <v>33967</v>
      </c>
      <c r="G96" s="8">
        <v>3732</v>
      </c>
      <c r="H96" s="11">
        <f t="shared" si="11"/>
        <v>16983.5</v>
      </c>
      <c r="I96" s="11">
        <f t="shared" si="12"/>
        <v>6793.4000000000005</v>
      </c>
      <c r="J96" s="11">
        <f t="shared" si="13"/>
        <v>10190.099999999999</v>
      </c>
      <c r="K96" s="11">
        <f t="shared" si="14"/>
        <v>2038.02</v>
      </c>
      <c r="L96" s="8">
        <v>200</v>
      </c>
      <c r="M96" s="8">
        <f t="shared" si="15"/>
        <v>208</v>
      </c>
      <c r="N96" s="11">
        <v>0</v>
      </c>
      <c r="O96" s="11">
        <f t="shared" si="16"/>
        <v>81.651442307692307</v>
      </c>
      <c r="P96" s="11">
        <f t="shared" si="17"/>
        <v>163.30288461538461</v>
      </c>
      <c r="Q96" s="11">
        <f t="shared" si="18"/>
        <v>0</v>
      </c>
      <c r="R96" s="8">
        <v>35462</v>
      </c>
      <c r="S96" s="11">
        <f t="shared" si="19"/>
        <v>39194</v>
      </c>
      <c r="T96" s="20">
        <f>S96/median_percentile!$B$1</f>
        <v>0.77768187545264245</v>
      </c>
      <c r="U96" s="24" t="str" cm="1">
        <f t="array" ref="U96">_xlfn.IFS(T96&lt;1,"underpaid",T96&gt;1,"overpaid",T96=1,"median pay")</f>
        <v>underpaid</v>
      </c>
      <c r="V96" s="5"/>
    </row>
    <row r="97" spans="1:22" x14ac:dyDescent="0.3">
      <c r="A97" s="22" t="s">
        <v>108</v>
      </c>
      <c r="B97" s="12" t="s">
        <v>1107</v>
      </c>
      <c r="C97" s="12" t="s">
        <v>2014</v>
      </c>
      <c r="D97" s="13">
        <v>44599</v>
      </c>
      <c r="E97" s="14">
        <f t="shared" si="10"/>
        <v>881328</v>
      </c>
      <c r="F97" s="12">
        <v>61948</v>
      </c>
      <c r="G97" s="12">
        <v>11496</v>
      </c>
      <c r="H97" s="15">
        <f t="shared" si="11"/>
        <v>30974</v>
      </c>
      <c r="I97" s="15">
        <f t="shared" si="12"/>
        <v>12389.6</v>
      </c>
      <c r="J97" s="15">
        <f t="shared" si="13"/>
        <v>18584.400000000001</v>
      </c>
      <c r="K97" s="15">
        <f t="shared" si="14"/>
        <v>3716.8799999999997</v>
      </c>
      <c r="L97" s="12">
        <v>200</v>
      </c>
      <c r="M97" s="12">
        <f t="shared" si="15"/>
        <v>208</v>
      </c>
      <c r="N97" s="15">
        <v>4</v>
      </c>
      <c r="O97" s="15">
        <f t="shared" si="16"/>
        <v>148.91346153846155</v>
      </c>
      <c r="P97" s="15">
        <f t="shared" si="17"/>
        <v>297.82692307692309</v>
      </c>
      <c r="Q97" s="15">
        <f t="shared" si="18"/>
        <v>1191.3076923076924</v>
      </c>
      <c r="R97" s="12">
        <v>70560</v>
      </c>
      <c r="S97" s="15">
        <f t="shared" si="19"/>
        <v>82056</v>
      </c>
      <c r="T97" s="20">
        <f>S97/median_percentile!$B$1</f>
        <v>1.6281436947528201</v>
      </c>
      <c r="U97" s="24" t="str" cm="1">
        <f t="array" ref="U97">_xlfn.IFS(T97&lt;1,"underpaid",T97&gt;1,"overpaid",T97=1,"median pay")</f>
        <v>overpaid</v>
      </c>
      <c r="V97" s="5"/>
    </row>
    <row r="98" spans="1:22" x14ac:dyDescent="0.3">
      <c r="A98" s="21" t="s">
        <v>109</v>
      </c>
      <c r="B98" s="8" t="s">
        <v>1108</v>
      </c>
      <c r="C98" s="8" t="s">
        <v>2016</v>
      </c>
      <c r="D98" s="9">
        <v>43599</v>
      </c>
      <c r="E98" s="10">
        <f t="shared" si="10"/>
        <v>624336</v>
      </c>
      <c r="F98" s="8">
        <v>44121</v>
      </c>
      <c r="G98" s="8">
        <v>7907</v>
      </c>
      <c r="H98" s="11">
        <f t="shared" si="11"/>
        <v>22060.5</v>
      </c>
      <c r="I98" s="11">
        <f t="shared" si="12"/>
        <v>8824.2000000000007</v>
      </c>
      <c r="J98" s="11">
        <f t="shared" si="13"/>
        <v>13236.3</v>
      </c>
      <c r="K98" s="11">
        <f t="shared" si="14"/>
        <v>2647.2599999999998</v>
      </c>
      <c r="L98" s="8">
        <v>200</v>
      </c>
      <c r="M98" s="8">
        <f t="shared" si="15"/>
        <v>208</v>
      </c>
      <c r="N98" s="11">
        <v>1</v>
      </c>
      <c r="O98" s="11">
        <f t="shared" si="16"/>
        <v>106.06009615384616</v>
      </c>
      <c r="P98" s="11">
        <f t="shared" si="17"/>
        <v>212.12019230769232</v>
      </c>
      <c r="Q98" s="11">
        <f t="shared" si="18"/>
        <v>212.12019230769232</v>
      </c>
      <c r="R98" s="8">
        <v>49181</v>
      </c>
      <c r="S98" s="11">
        <f t="shared" si="19"/>
        <v>57088</v>
      </c>
      <c r="T98" s="20">
        <f>S98/median_percentile!$B$1</f>
        <v>1.1327321249640365</v>
      </c>
      <c r="U98" s="24" t="str" cm="1">
        <f t="array" ref="U98">_xlfn.IFS(T98&lt;1,"underpaid",T98&gt;1,"overpaid",T98=1,"median pay")</f>
        <v>overpaid</v>
      </c>
      <c r="V98" s="5"/>
    </row>
    <row r="99" spans="1:22" x14ac:dyDescent="0.3">
      <c r="A99" s="22" t="s">
        <v>110</v>
      </c>
      <c r="B99" s="12" t="s">
        <v>1109</v>
      </c>
      <c r="C99" s="12" t="s">
        <v>2016</v>
      </c>
      <c r="D99" s="13">
        <v>45950</v>
      </c>
      <c r="E99" s="14">
        <f t="shared" si="10"/>
        <v>413652</v>
      </c>
      <c r="F99" s="12">
        <v>30974</v>
      </c>
      <c r="G99" s="12">
        <v>3497</v>
      </c>
      <c r="H99" s="15">
        <f t="shared" si="11"/>
        <v>15487</v>
      </c>
      <c r="I99" s="15">
        <f t="shared" si="12"/>
        <v>6194.8</v>
      </c>
      <c r="J99" s="15">
        <f t="shared" si="13"/>
        <v>9292.2000000000007</v>
      </c>
      <c r="K99" s="15">
        <f t="shared" si="14"/>
        <v>1858.4399999999998</v>
      </c>
      <c r="L99" s="12">
        <v>200</v>
      </c>
      <c r="M99" s="12">
        <f t="shared" si="15"/>
        <v>208</v>
      </c>
      <c r="N99" s="15">
        <v>0</v>
      </c>
      <c r="O99" s="15">
        <f t="shared" si="16"/>
        <v>74.456730769230774</v>
      </c>
      <c r="P99" s="15">
        <f t="shared" si="17"/>
        <v>148.91346153846155</v>
      </c>
      <c r="Q99" s="15">
        <f t="shared" si="18"/>
        <v>0</v>
      </c>
      <c r="R99" s="12">
        <v>32413</v>
      </c>
      <c r="S99" s="15">
        <f t="shared" si="19"/>
        <v>35910</v>
      </c>
      <c r="T99" s="20">
        <f>S99/median_percentile!$B$1</f>
        <v>0.71252120598827351</v>
      </c>
      <c r="U99" s="24" t="str" cm="1">
        <f t="array" ref="U99">_xlfn.IFS(T99&lt;1,"underpaid",T99&gt;1,"overpaid",T99=1,"median pay")</f>
        <v>underpaid</v>
      </c>
      <c r="V99" s="5"/>
    </row>
    <row r="100" spans="1:22" x14ac:dyDescent="0.3">
      <c r="A100" s="21" t="s">
        <v>111</v>
      </c>
      <c r="B100" s="8" t="s">
        <v>1110</v>
      </c>
      <c r="C100" s="8" t="s">
        <v>2015</v>
      </c>
      <c r="D100" s="9">
        <v>45705</v>
      </c>
      <c r="E100" s="10">
        <f t="shared" si="10"/>
        <v>622080</v>
      </c>
      <c r="F100" s="8">
        <v>44013</v>
      </c>
      <c r="G100" s="8">
        <v>7827</v>
      </c>
      <c r="H100" s="11">
        <f t="shared" si="11"/>
        <v>22006.5</v>
      </c>
      <c r="I100" s="11">
        <f t="shared" si="12"/>
        <v>8802.6</v>
      </c>
      <c r="J100" s="11">
        <f t="shared" si="13"/>
        <v>13203.900000000001</v>
      </c>
      <c r="K100" s="11">
        <f t="shared" si="14"/>
        <v>2640.7799999999997</v>
      </c>
      <c r="L100" s="8">
        <v>200</v>
      </c>
      <c r="M100" s="8">
        <f t="shared" si="15"/>
        <v>208</v>
      </c>
      <c r="N100" s="11">
        <v>1</v>
      </c>
      <c r="O100" s="11">
        <f t="shared" si="16"/>
        <v>105.80048076923077</v>
      </c>
      <c r="P100" s="11">
        <f t="shared" si="17"/>
        <v>211.60096153846155</v>
      </c>
      <c r="Q100" s="11">
        <f t="shared" si="18"/>
        <v>211.60096153846155</v>
      </c>
      <c r="R100" s="8">
        <v>49000</v>
      </c>
      <c r="S100" s="11">
        <f t="shared" si="19"/>
        <v>56827</v>
      </c>
      <c r="T100" s="20">
        <f>S100/median_percentile!$B$1</f>
        <v>1.1275533994067284</v>
      </c>
      <c r="U100" s="24" t="str" cm="1">
        <f t="array" ref="U100">_xlfn.IFS(T100&lt;1,"underpaid",T100&gt;1,"overpaid",T100=1,"median pay")</f>
        <v>overpaid</v>
      </c>
      <c r="V100" s="5"/>
    </row>
    <row r="101" spans="1:22" x14ac:dyDescent="0.3">
      <c r="A101" s="22" t="s">
        <v>112</v>
      </c>
      <c r="B101" s="12" t="s">
        <v>1111</v>
      </c>
      <c r="C101" s="12" t="s">
        <v>2013</v>
      </c>
      <c r="D101" s="13">
        <v>45272</v>
      </c>
      <c r="E101" s="14">
        <f t="shared" si="10"/>
        <v>804504</v>
      </c>
      <c r="F101" s="12">
        <v>59894</v>
      </c>
      <c r="G101" s="12">
        <v>7148</v>
      </c>
      <c r="H101" s="15">
        <f t="shared" si="11"/>
        <v>29947</v>
      </c>
      <c r="I101" s="15">
        <f t="shared" si="12"/>
        <v>11978.800000000001</v>
      </c>
      <c r="J101" s="15">
        <f t="shared" si="13"/>
        <v>17968.199999999997</v>
      </c>
      <c r="K101" s="15">
        <f t="shared" si="14"/>
        <v>3593.64</v>
      </c>
      <c r="L101" s="12">
        <v>200</v>
      </c>
      <c r="M101" s="12">
        <f t="shared" si="15"/>
        <v>208</v>
      </c>
      <c r="N101" s="15">
        <v>2</v>
      </c>
      <c r="O101" s="15">
        <f t="shared" si="16"/>
        <v>143.97596153846155</v>
      </c>
      <c r="P101" s="15">
        <f t="shared" si="17"/>
        <v>287.95192307692309</v>
      </c>
      <c r="Q101" s="15">
        <f t="shared" si="18"/>
        <v>575.90384615384619</v>
      </c>
      <c r="R101" s="12">
        <v>63249</v>
      </c>
      <c r="S101" s="15">
        <f t="shared" si="19"/>
        <v>70397</v>
      </c>
      <c r="T101" s="20">
        <f>S101/median_percentile!$B$1</f>
        <v>1.3968074446660119</v>
      </c>
      <c r="U101" s="24" t="str" cm="1">
        <f t="array" ref="U101">_xlfn.IFS(T101&lt;1,"underpaid",T101&gt;1,"overpaid",T101=1,"median pay")</f>
        <v>overpaid</v>
      </c>
      <c r="V101" s="5"/>
    </row>
    <row r="102" spans="1:22" x14ac:dyDescent="0.3">
      <c r="A102" s="21" t="s">
        <v>113</v>
      </c>
      <c r="B102" s="8" t="s">
        <v>1112</v>
      </c>
      <c r="C102" s="8" t="s">
        <v>2015</v>
      </c>
      <c r="D102" s="9">
        <v>44110</v>
      </c>
      <c r="E102" s="10">
        <f t="shared" si="10"/>
        <v>477180</v>
      </c>
      <c r="F102" s="8">
        <v>34742</v>
      </c>
      <c r="G102" s="8">
        <v>5023</v>
      </c>
      <c r="H102" s="11">
        <f t="shared" si="11"/>
        <v>17371</v>
      </c>
      <c r="I102" s="11">
        <f t="shared" si="12"/>
        <v>6948.4000000000005</v>
      </c>
      <c r="J102" s="11">
        <f t="shared" si="13"/>
        <v>10422.599999999999</v>
      </c>
      <c r="K102" s="11">
        <f t="shared" si="14"/>
        <v>2084.52</v>
      </c>
      <c r="L102" s="8">
        <v>200</v>
      </c>
      <c r="M102" s="8">
        <f t="shared" si="15"/>
        <v>208</v>
      </c>
      <c r="N102" s="11">
        <v>4</v>
      </c>
      <c r="O102" s="11">
        <f t="shared" si="16"/>
        <v>83.51442307692308</v>
      </c>
      <c r="P102" s="11">
        <f t="shared" si="17"/>
        <v>167.02884615384616</v>
      </c>
      <c r="Q102" s="11">
        <f t="shared" si="18"/>
        <v>668.11538461538464</v>
      </c>
      <c r="R102" s="8">
        <v>37481</v>
      </c>
      <c r="S102" s="11">
        <f t="shared" si="19"/>
        <v>42504</v>
      </c>
      <c r="T102" s="20">
        <f>S102/median_percentile!$B$1</f>
        <v>0.84335843328670501</v>
      </c>
      <c r="U102" s="24" t="str" cm="1">
        <f t="array" ref="U102">_xlfn.IFS(T102&lt;1,"underpaid",T102&gt;1,"overpaid",T102=1,"median pay")</f>
        <v>underpaid</v>
      </c>
      <c r="V102" s="5"/>
    </row>
    <row r="103" spans="1:22" x14ac:dyDescent="0.3">
      <c r="A103" s="22" t="s">
        <v>114</v>
      </c>
      <c r="B103" s="12" t="s">
        <v>1113</v>
      </c>
      <c r="C103" s="12" t="s">
        <v>2013</v>
      </c>
      <c r="D103" s="13">
        <v>45855</v>
      </c>
      <c r="E103" s="14">
        <f t="shared" si="10"/>
        <v>435660</v>
      </c>
      <c r="F103" s="12">
        <v>32625</v>
      </c>
      <c r="G103" s="12">
        <v>3680</v>
      </c>
      <c r="H103" s="15">
        <f t="shared" si="11"/>
        <v>16312.5</v>
      </c>
      <c r="I103" s="15">
        <f t="shared" si="12"/>
        <v>6525</v>
      </c>
      <c r="J103" s="15">
        <f t="shared" si="13"/>
        <v>9787.5</v>
      </c>
      <c r="K103" s="15">
        <f t="shared" si="14"/>
        <v>1957.5</v>
      </c>
      <c r="L103" s="12">
        <v>200</v>
      </c>
      <c r="M103" s="12">
        <f t="shared" si="15"/>
        <v>208</v>
      </c>
      <c r="N103" s="15">
        <v>0</v>
      </c>
      <c r="O103" s="15">
        <f t="shared" si="16"/>
        <v>78.425480769230774</v>
      </c>
      <c r="P103" s="15">
        <f t="shared" si="17"/>
        <v>156.85096153846155</v>
      </c>
      <c r="Q103" s="15">
        <f t="shared" si="18"/>
        <v>0</v>
      </c>
      <c r="R103" s="12">
        <v>34148</v>
      </c>
      <c r="S103" s="15">
        <f t="shared" si="19"/>
        <v>37828</v>
      </c>
      <c r="T103" s="20">
        <f>S103/median_percentile!$B$1</f>
        <v>0.75057789418335863</v>
      </c>
      <c r="U103" s="24" t="str" cm="1">
        <f t="array" ref="U103">_xlfn.IFS(T103&lt;1,"underpaid",T103&gt;1,"overpaid",T103=1,"median pay")</f>
        <v>underpaid</v>
      </c>
      <c r="V103" s="5"/>
    </row>
    <row r="104" spans="1:22" x14ac:dyDescent="0.3">
      <c r="A104" s="21" t="s">
        <v>115</v>
      </c>
      <c r="B104" s="8" t="s">
        <v>1114</v>
      </c>
      <c r="C104" s="8" t="s">
        <v>2016</v>
      </c>
      <c r="D104" s="9">
        <v>43834</v>
      </c>
      <c r="E104" s="10">
        <f t="shared" si="10"/>
        <v>374916</v>
      </c>
      <c r="F104" s="8">
        <v>27594</v>
      </c>
      <c r="G104" s="8">
        <v>3649</v>
      </c>
      <c r="H104" s="11">
        <f t="shared" si="11"/>
        <v>13797</v>
      </c>
      <c r="I104" s="11">
        <f t="shared" si="12"/>
        <v>5518.8</v>
      </c>
      <c r="J104" s="11">
        <f t="shared" si="13"/>
        <v>8278.2000000000007</v>
      </c>
      <c r="K104" s="11">
        <f t="shared" si="14"/>
        <v>1655.6399999999999</v>
      </c>
      <c r="L104" s="8">
        <v>200</v>
      </c>
      <c r="M104" s="8">
        <f t="shared" si="15"/>
        <v>208</v>
      </c>
      <c r="N104" s="11">
        <v>0</v>
      </c>
      <c r="O104" s="11">
        <f t="shared" si="16"/>
        <v>66.331730769230774</v>
      </c>
      <c r="P104" s="11">
        <f t="shared" si="17"/>
        <v>132.66346153846155</v>
      </c>
      <c r="Q104" s="11">
        <f t="shared" si="18"/>
        <v>0</v>
      </c>
      <c r="R104" s="8">
        <v>29388</v>
      </c>
      <c r="S104" s="11">
        <f t="shared" si="19"/>
        <v>33037</v>
      </c>
      <c r="T104" s="20">
        <f>S104/median_percentile!$B$1</f>
        <v>0.65551554113713706</v>
      </c>
      <c r="U104" s="24" t="str" cm="1">
        <f t="array" ref="U104">_xlfn.IFS(T104&lt;1,"underpaid",T104&gt;1,"overpaid",T104=1,"median pay")</f>
        <v>underpaid</v>
      </c>
      <c r="V104" s="5"/>
    </row>
    <row r="105" spans="1:22" x14ac:dyDescent="0.3">
      <c r="A105" s="22" t="s">
        <v>116</v>
      </c>
      <c r="B105" s="12" t="s">
        <v>1115</v>
      </c>
      <c r="C105" s="12" t="s">
        <v>2012</v>
      </c>
      <c r="D105" s="13">
        <v>44093</v>
      </c>
      <c r="E105" s="14">
        <f t="shared" si="10"/>
        <v>635316</v>
      </c>
      <c r="F105" s="12">
        <v>46660</v>
      </c>
      <c r="G105" s="12">
        <v>6283</v>
      </c>
      <c r="H105" s="15">
        <f t="shared" si="11"/>
        <v>23330</v>
      </c>
      <c r="I105" s="15">
        <f t="shared" si="12"/>
        <v>9332</v>
      </c>
      <c r="J105" s="15">
        <f t="shared" si="13"/>
        <v>13998</v>
      </c>
      <c r="K105" s="15">
        <f t="shared" si="14"/>
        <v>2799.6</v>
      </c>
      <c r="L105" s="12">
        <v>200</v>
      </c>
      <c r="M105" s="12">
        <f t="shared" si="15"/>
        <v>208</v>
      </c>
      <c r="N105" s="15">
        <v>1</v>
      </c>
      <c r="O105" s="15">
        <f t="shared" si="16"/>
        <v>112.16346153846153</v>
      </c>
      <c r="P105" s="15">
        <f t="shared" si="17"/>
        <v>224.32692307692307</v>
      </c>
      <c r="Q105" s="15">
        <f t="shared" si="18"/>
        <v>224.32692307692307</v>
      </c>
      <c r="R105" s="12">
        <v>49944</v>
      </c>
      <c r="S105" s="15">
        <f t="shared" si="19"/>
        <v>56227</v>
      </c>
      <c r="T105" s="20">
        <f>S105/median_percentile!$B$1</f>
        <v>1.1156482831830312</v>
      </c>
      <c r="U105" s="24" t="str" cm="1">
        <f t="array" ref="U105">_xlfn.IFS(T105&lt;1,"underpaid",T105&gt;1,"overpaid",T105=1,"median pay")</f>
        <v>overpaid</v>
      </c>
      <c r="V105" s="5"/>
    </row>
    <row r="106" spans="1:22" x14ac:dyDescent="0.3">
      <c r="A106" s="21" t="s">
        <v>117</v>
      </c>
      <c r="B106" s="8" t="s">
        <v>1116</v>
      </c>
      <c r="C106" s="8" t="s">
        <v>2014</v>
      </c>
      <c r="D106" s="9">
        <v>44537</v>
      </c>
      <c r="E106" s="10">
        <f t="shared" si="10"/>
        <v>606864</v>
      </c>
      <c r="F106" s="8">
        <v>44173</v>
      </c>
      <c r="G106" s="8">
        <v>6399</v>
      </c>
      <c r="H106" s="11">
        <f t="shared" si="11"/>
        <v>22086.5</v>
      </c>
      <c r="I106" s="11">
        <f t="shared" si="12"/>
        <v>8834.6</v>
      </c>
      <c r="J106" s="11">
        <f t="shared" si="13"/>
        <v>13251.900000000001</v>
      </c>
      <c r="K106" s="11">
        <f t="shared" si="14"/>
        <v>2650.38</v>
      </c>
      <c r="L106" s="8">
        <v>200</v>
      </c>
      <c r="M106" s="8">
        <f t="shared" si="15"/>
        <v>208</v>
      </c>
      <c r="N106" s="11">
        <v>0</v>
      </c>
      <c r="O106" s="11">
        <f t="shared" si="16"/>
        <v>106.18509615384616</v>
      </c>
      <c r="P106" s="11">
        <f t="shared" si="17"/>
        <v>212.37019230769232</v>
      </c>
      <c r="Q106" s="11">
        <f t="shared" si="18"/>
        <v>0</v>
      </c>
      <c r="R106" s="8">
        <v>47722</v>
      </c>
      <c r="S106" s="11">
        <f t="shared" si="19"/>
        <v>54121</v>
      </c>
      <c r="T106" s="20">
        <f>S106/median_percentile!$B$1</f>
        <v>1.0738613252378544</v>
      </c>
      <c r="U106" s="24" t="str" cm="1">
        <f t="array" ref="U106">_xlfn.IFS(T106&lt;1,"underpaid",T106&gt;1,"overpaid",T106=1,"median pay")</f>
        <v>overpaid</v>
      </c>
      <c r="V106" s="5"/>
    </row>
    <row r="107" spans="1:22" x14ac:dyDescent="0.3">
      <c r="A107" s="22" t="s">
        <v>118</v>
      </c>
      <c r="B107" s="12" t="s">
        <v>1117</v>
      </c>
      <c r="C107" s="12" t="s">
        <v>2016</v>
      </c>
      <c r="D107" s="13">
        <v>44660</v>
      </c>
      <c r="E107" s="14">
        <f t="shared" si="10"/>
        <v>358668</v>
      </c>
      <c r="F107" s="12">
        <v>26082</v>
      </c>
      <c r="G107" s="12">
        <v>3807</v>
      </c>
      <c r="H107" s="15">
        <f t="shared" si="11"/>
        <v>13041</v>
      </c>
      <c r="I107" s="15">
        <f t="shared" si="12"/>
        <v>5216.4000000000005</v>
      </c>
      <c r="J107" s="15">
        <f t="shared" si="13"/>
        <v>7824.5999999999985</v>
      </c>
      <c r="K107" s="15">
        <f t="shared" si="14"/>
        <v>1564.9199999999998</v>
      </c>
      <c r="L107" s="12">
        <v>200</v>
      </c>
      <c r="M107" s="12">
        <f t="shared" si="15"/>
        <v>208</v>
      </c>
      <c r="N107" s="15">
        <v>4</v>
      </c>
      <c r="O107" s="15">
        <f t="shared" si="16"/>
        <v>62.697115384615387</v>
      </c>
      <c r="P107" s="15">
        <f t="shared" si="17"/>
        <v>125.39423076923077</v>
      </c>
      <c r="Q107" s="15">
        <f t="shared" si="18"/>
        <v>501.57692307692309</v>
      </c>
      <c r="R107" s="12">
        <v>28125</v>
      </c>
      <c r="S107" s="15">
        <f t="shared" si="19"/>
        <v>31932</v>
      </c>
      <c r="T107" s="20">
        <f>S107/median_percentile!$B$1</f>
        <v>0.63359028542516149</v>
      </c>
      <c r="U107" s="24" t="str" cm="1">
        <f t="array" ref="U107">_xlfn.IFS(T107&lt;1,"underpaid",T107&gt;1,"overpaid",T107=1,"median pay")</f>
        <v>underpaid</v>
      </c>
      <c r="V107" s="5"/>
    </row>
    <row r="108" spans="1:22" x14ac:dyDescent="0.3">
      <c r="A108" s="21" t="s">
        <v>119</v>
      </c>
      <c r="B108" s="8" t="s">
        <v>1118</v>
      </c>
      <c r="C108" s="8" t="s">
        <v>2016</v>
      </c>
      <c r="D108" s="9">
        <v>44850</v>
      </c>
      <c r="E108" s="10">
        <f t="shared" si="10"/>
        <v>592824</v>
      </c>
      <c r="F108" s="8">
        <v>42350</v>
      </c>
      <c r="G108" s="8">
        <v>7052</v>
      </c>
      <c r="H108" s="11">
        <f t="shared" si="11"/>
        <v>21175</v>
      </c>
      <c r="I108" s="11">
        <f t="shared" si="12"/>
        <v>8470</v>
      </c>
      <c r="J108" s="11">
        <f t="shared" si="13"/>
        <v>12705</v>
      </c>
      <c r="K108" s="11">
        <f t="shared" si="14"/>
        <v>2541</v>
      </c>
      <c r="L108" s="8">
        <v>200</v>
      </c>
      <c r="M108" s="8">
        <f t="shared" si="15"/>
        <v>208</v>
      </c>
      <c r="N108" s="11">
        <v>4</v>
      </c>
      <c r="O108" s="11">
        <f t="shared" si="16"/>
        <v>101.80288461538461</v>
      </c>
      <c r="P108" s="11">
        <f t="shared" si="17"/>
        <v>203.60576923076923</v>
      </c>
      <c r="Q108" s="11">
        <f t="shared" si="18"/>
        <v>814.42307692307691</v>
      </c>
      <c r="R108" s="8">
        <v>46661</v>
      </c>
      <c r="S108" s="11">
        <f t="shared" si="19"/>
        <v>53713</v>
      </c>
      <c r="T108" s="20">
        <f>S108/median_percentile!$B$1</f>
        <v>1.0657658462057402</v>
      </c>
      <c r="U108" s="24" t="str" cm="1">
        <f t="array" ref="U108">_xlfn.IFS(T108&lt;1,"underpaid",T108&gt;1,"overpaid",T108=1,"median pay")</f>
        <v>overpaid</v>
      </c>
      <c r="V108" s="5"/>
    </row>
    <row r="109" spans="1:22" x14ac:dyDescent="0.3">
      <c r="A109" s="22" t="s">
        <v>120</v>
      </c>
      <c r="B109" s="12" t="s">
        <v>1119</v>
      </c>
      <c r="C109" s="12" t="s">
        <v>2013</v>
      </c>
      <c r="D109" s="13">
        <v>44965</v>
      </c>
      <c r="E109" s="14">
        <f t="shared" si="10"/>
        <v>838476</v>
      </c>
      <c r="F109" s="12">
        <v>61482</v>
      </c>
      <c r="G109" s="12">
        <v>8391</v>
      </c>
      <c r="H109" s="15">
        <f t="shared" si="11"/>
        <v>30741</v>
      </c>
      <c r="I109" s="15">
        <f t="shared" si="12"/>
        <v>12296.400000000001</v>
      </c>
      <c r="J109" s="15">
        <f t="shared" si="13"/>
        <v>18444.599999999999</v>
      </c>
      <c r="K109" s="15">
        <f t="shared" si="14"/>
        <v>3688.92</v>
      </c>
      <c r="L109" s="12">
        <v>200</v>
      </c>
      <c r="M109" s="12">
        <f t="shared" si="15"/>
        <v>208</v>
      </c>
      <c r="N109" s="15">
        <v>3</v>
      </c>
      <c r="O109" s="15">
        <f t="shared" si="16"/>
        <v>147.79326923076923</v>
      </c>
      <c r="P109" s="15">
        <f t="shared" si="17"/>
        <v>295.58653846153845</v>
      </c>
      <c r="Q109" s="15">
        <f t="shared" si="18"/>
        <v>886.75961538461536</v>
      </c>
      <c r="R109" s="12">
        <v>65985</v>
      </c>
      <c r="S109" s="15">
        <f t="shared" si="19"/>
        <v>74376</v>
      </c>
      <c r="T109" s="20">
        <f>S109/median_percentile!$B$1</f>
        <v>1.4757582070894968</v>
      </c>
      <c r="U109" s="24" t="str" cm="1">
        <f t="array" ref="U109">_xlfn.IFS(T109&lt;1,"underpaid",T109&gt;1,"overpaid",T109=1,"median pay")</f>
        <v>overpaid</v>
      </c>
      <c r="V109" s="5"/>
    </row>
    <row r="110" spans="1:22" x14ac:dyDescent="0.3">
      <c r="A110" s="21" t="s">
        <v>121</v>
      </c>
      <c r="B110" s="8" t="s">
        <v>1120</v>
      </c>
      <c r="C110" s="8" t="s">
        <v>2016</v>
      </c>
      <c r="D110" s="9">
        <v>45940</v>
      </c>
      <c r="E110" s="10">
        <f t="shared" si="10"/>
        <v>651468</v>
      </c>
      <c r="F110" s="8">
        <v>45729</v>
      </c>
      <c r="G110" s="8">
        <v>8560</v>
      </c>
      <c r="H110" s="11">
        <f t="shared" si="11"/>
        <v>22864.5</v>
      </c>
      <c r="I110" s="11">
        <f t="shared" si="12"/>
        <v>9145.8000000000011</v>
      </c>
      <c r="J110" s="11">
        <f t="shared" si="13"/>
        <v>13718.699999999997</v>
      </c>
      <c r="K110" s="11">
        <f t="shared" si="14"/>
        <v>2743.74</v>
      </c>
      <c r="L110" s="8">
        <v>200</v>
      </c>
      <c r="M110" s="8">
        <f t="shared" si="15"/>
        <v>208</v>
      </c>
      <c r="N110" s="11">
        <v>0</v>
      </c>
      <c r="O110" s="11">
        <f t="shared" si="16"/>
        <v>109.92548076923077</v>
      </c>
      <c r="P110" s="11">
        <f t="shared" si="17"/>
        <v>219.85096153846155</v>
      </c>
      <c r="Q110" s="11">
        <f t="shared" si="18"/>
        <v>0</v>
      </c>
      <c r="R110" s="8">
        <v>51727</v>
      </c>
      <c r="S110" s="11">
        <f t="shared" si="19"/>
        <v>60287</v>
      </c>
      <c r="T110" s="20">
        <f>S110/median_percentile!$B$1</f>
        <v>1.1962062362967152</v>
      </c>
      <c r="U110" s="24" t="str" cm="1">
        <f t="array" ref="U110">_xlfn.IFS(T110&lt;1,"underpaid",T110&gt;1,"overpaid",T110=1,"median pay")</f>
        <v>overpaid</v>
      </c>
      <c r="V110" s="5"/>
    </row>
    <row r="111" spans="1:22" x14ac:dyDescent="0.3">
      <c r="A111" s="22" t="s">
        <v>122</v>
      </c>
      <c r="B111" s="12" t="s">
        <v>1121</v>
      </c>
      <c r="C111" s="12" t="s">
        <v>2011</v>
      </c>
      <c r="D111" s="13">
        <v>44122</v>
      </c>
      <c r="E111" s="14">
        <f t="shared" si="10"/>
        <v>588840</v>
      </c>
      <c r="F111" s="12">
        <v>41534</v>
      </c>
      <c r="G111" s="12">
        <v>7536</v>
      </c>
      <c r="H111" s="15">
        <f t="shared" si="11"/>
        <v>20767</v>
      </c>
      <c r="I111" s="15">
        <f t="shared" si="12"/>
        <v>8306.8000000000011</v>
      </c>
      <c r="J111" s="15">
        <f t="shared" si="13"/>
        <v>12460.199999999997</v>
      </c>
      <c r="K111" s="15">
        <f t="shared" si="14"/>
        <v>2492.04</v>
      </c>
      <c r="L111" s="12">
        <v>200</v>
      </c>
      <c r="M111" s="12">
        <f t="shared" si="15"/>
        <v>208</v>
      </c>
      <c r="N111" s="15">
        <v>0</v>
      </c>
      <c r="O111" s="15">
        <f t="shared" si="16"/>
        <v>99.84134615384616</v>
      </c>
      <c r="P111" s="15">
        <f t="shared" si="17"/>
        <v>199.68269230769232</v>
      </c>
      <c r="Q111" s="15">
        <f t="shared" si="18"/>
        <v>0</v>
      </c>
      <c r="R111" s="12">
        <v>46378</v>
      </c>
      <c r="S111" s="15">
        <f t="shared" si="19"/>
        <v>53914</v>
      </c>
      <c r="T111" s="20">
        <f>S111/median_percentile!$B$1</f>
        <v>1.0697540601406788</v>
      </c>
      <c r="U111" s="24" t="str" cm="1">
        <f t="array" ref="U111">_xlfn.IFS(T111&lt;1,"underpaid",T111&gt;1,"overpaid",T111=1,"median pay")</f>
        <v>overpaid</v>
      </c>
      <c r="V111" s="5"/>
    </row>
    <row r="112" spans="1:22" x14ac:dyDescent="0.3">
      <c r="A112" s="21" t="s">
        <v>123</v>
      </c>
      <c r="B112" s="8" t="s">
        <v>1122</v>
      </c>
      <c r="C112" s="8" t="s">
        <v>2015</v>
      </c>
      <c r="D112" s="9">
        <v>44416</v>
      </c>
      <c r="E112" s="10">
        <f t="shared" si="10"/>
        <v>477420</v>
      </c>
      <c r="F112" s="8">
        <v>34341</v>
      </c>
      <c r="G112" s="8">
        <v>5444</v>
      </c>
      <c r="H112" s="11">
        <f t="shared" si="11"/>
        <v>17170.5</v>
      </c>
      <c r="I112" s="11">
        <f t="shared" si="12"/>
        <v>6868.2000000000007</v>
      </c>
      <c r="J112" s="11">
        <f t="shared" si="13"/>
        <v>10302.299999999999</v>
      </c>
      <c r="K112" s="11">
        <f t="shared" si="14"/>
        <v>2060.46</v>
      </c>
      <c r="L112" s="8">
        <v>200</v>
      </c>
      <c r="M112" s="8">
        <f t="shared" si="15"/>
        <v>208</v>
      </c>
      <c r="N112" s="11">
        <v>1</v>
      </c>
      <c r="O112" s="11">
        <f t="shared" si="16"/>
        <v>82.550480769230774</v>
      </c>
      <c r="P112" s="11">
        <f t="shared" si="17"/>
        <v>165.10096153846155</v>
      </c>
      <c r="Q112" s="11">
        <f t="shared" si="18"/>
        <v>165.10096153846155</v>
      </c>
      <c r="R112" s="8">
        <v>37525</v>
      </c>
      <c r="S112" s="11">
        <f t="shared" si="19"/>
        <v>42969</v>
      </c>
      <c r="T112" s="20">
        <f>S112/median_percentile!$B$1</f>
        <v>0.85258489836007023</v>
      </c>
      <c r="U112" s="24" t="str" cm="1">
        <f t="array" ref="U112">_xlfn.IFS(T112&lt;1,"underpaid",T112&gt;1,"overpaid",T112=1,"median pay")</f>
        <v>underpaid</v>
      </c>
      <c r="V112" s="5"/>
    </row>
    <row r="113" spans="1:22" x14ac:dyDescent="0.3">
      <c r="A113" s="22" t="s">
        <v>124</v>
      </c>
      <c r="B113" s="12" t="s">
        <v>1123</v>
      </c>
      <c r="C113" s="12" t="s">
        <v>2013</v>
      </c>
      <c r="D113" s="13">
        <v>44749</v>
      </c>
      <c r="E113" s="14">
        <f t="shared" si="10"/>
        <v>576012</v>
      </c>
      <c r="F113" s="12">
        <v>40945</v>
      </c>
      <c r="G113" s="12">
        <v>7056</v>
      </c>
      <c r="H113" s="15">
        <f t="shared" si="11"/>
        <v>20472.5</v>
      </c>
      <c r="I113" s="15">
        <f t="shared" si="12"/>
        <v>8189</v>
      </c>
      <c r="J113" s="15">
        <f t="shared" si="13"/>
        <v>12283.5</v>
      </c>
      <c r="K113" s="15">
        <f t="shared" si="14"/>
        <v>2456.6999999999998</v>
      </c>
      <c r="L113" s="12">
        <v>200</v>
      </c>
      <c r="M113" s="12">
        <f t="shared" si="15"/>
        <v>208</v>
      </c>
      <c r="N113" s="15">
        <v>3</v>
      </c>
      <c r="O113" s="15">
        <f t="shared" si="16"/>
        <v>98.425480769230774</v>
      </c>
      <c r="P113" s="15">
        <f t="shared" si="17"/>
        <v>196.85096153846155</v>
      </c>
      <c r="Q113" s="15">
        <f t="shared" si="18"/>
        <v>590.55288461538464</v>
      </c>
      <c r="R113" s="12">
        <v>46027</v>
      </c>
      <c r="S113" s="15">
        <f t="shared" si="19"/>
        <v>53083</v>
      </c>
      <c r="T113" s="20">
        <f>S113/median_percentile!$B$1</f>
        <v>1.0532654741708583</v>
      </c>
      <c r="U113" s="24" t="str" cm="1">
        <f t="array" ref="U113">_xlfn.IFS(T113&lt;1,"underpaid",T113&gt;1,"overpaid",T113=1,"median pay")</f>
        <v>overpaid</v>
      </c>
      <c r="V113" s="5"/>
    </row>
    <row r="114" spans="1:22" x14ac:dyDescent="0.3">
      <c r="A114" s="21" t="s">
        <v>125</v>
      </c>
      <c r="B114" s="8" t="s">
        <v>1124</v>
      </c>
      <c r="C114" s="8" t="s">
        <v>2011</v>
      </c>
      <c r="D114" s="9">
        <v>45206</v>
      </c>
      <c r="E114" s="10">
        <f t="shared" si="10"/>
        <v>613944</v>
      </c>
      <c r="F114" s="8">
        <v>44668</v>
      </c>
      <c r="G114" s="8">
        <v>6494</v>
      </c>
      <c r="H114" s="11">
        <f t="shared" si="11"/>
        <v>22334</v>
      </c>
      <c r="I114" s="11">
        <f t="shared" si="12"/>
        <v>8933.6</v>
      </c>
      <c r="J114" s="11">
        <f t="shared" si="13"/>
        <v>13400.400000000001</v>
      </c>
      <c r="K114" s="11">
        <f t="shared" si="14"/>
        <v>2680.08</v>
      </c>
      <c r="L114" s="8">
        <v>200</v>
      </c>
      <c r="M114" s="8">
        <f t="shared" si="15"/>
        <v>208</v>
      </c>
      <c r="N114" s="11">
        <v>3</v>
      </c>
      <c r="O114" s="11">
        <f t="shared" si="16"/>
        <v>107.375</v>
      </c>
      <c r="P114" s="11">
        <f t="shared" si="17"/>
        <v>214.75</v>
      </c>
      <c r="Q114" s="11">
        <f t="shared" si="18"/>
        <v>644.25</v>
      </c>
      <c r="R114" s="8">
        <v>48654</v>
      </c>
      <c r="S114" s="11">
        <f t="shared" si="19"/>
        <v>55148</v>
      </c>
      <c r="T114" s="20">
        <f>S114/median_percentile!$B$1</f>
        <v>1.0942389158407493</v>
      </c>
      <c r="U114" s="24" t="str" cm="1">
        <f t="array" ref="U114">_xlfn.IFS(T114&lt;1,"underpaid",T114&gt;1,"overpaid",T114=1,"median pay")</f>
        <v>overpaid</v>
      </c>
      <c r="V114" s="5"/>
    </row>
    <row r="115" spans="1:22" x14ac:dyDescent="0.3">
      <c r="A115" s="22" t="s">
        <v>126</v>
      </c>
      <c r="B115" s="12" t="s">
        <v>1125</v>
      </c>
      <c r="C115" s="12" t="s">
        <v>2016</v>
      </c>
      <c r="D115" s="13">
        <v>44276</v>
      </c>
      <c r="E115" s="14">
        <f t="shared" si="10"/>
        <v>463116</v>
      </c>
      <c r="F115" s="12">
        <v>32164</v>
      </c>
      <c r="G115" s="12">
        <v>6429</v>
      </c>
      <c r="H115" s="15">
        <f t="shared" si="11"/>
        <v>16082</v>
      </c>
      <c r="I115" s="15">
        <f t="shared" si="12"/>
        <v>6432.8</v>
      </c>
      <c r="J115" s="15">
        <f t="shared" si="13"/>
        <v>9649.2000000000007</v>
      </c>
      <c r="K115" s="15">
        <f t="shared" si="14"/>
        <v>1929.84</v>
      </c>
      <c r="L115" s="12">
        <v>200</v>
      </c>
      <c r="M115" s="12">
        <f t="shared" si="15"/>
        <v>208</v>
      </c>
      <c r="N115" s="15">
        <v>3</v>
      </c>
      <c r="O115" s="15">
        <f t="shared" si="16"/>
        <v>77.317307692307693</v>
      </c>
      <c r="P115" s="15">
        <f t="shared" si="17"/>
        <v>154.63461538461539</v>
      </c>
      <c r="Q115" s="15">
        <f t="shared" si="18"/>
        <v>463.90384615384619</v>
      </c>
      <c r="R115" s="12">
        <v>37000</v>
      </c>
      <c r="S115" s="15">
        <f t="shared" si="19"/>
        <v>43429</v>
      </c>
      <c r="T115" s="20">
        <f>S115/median_percentile!$B$1</f>
        <v>0.86171215413157143</v>
      </c>
      <c r="U115" s="24" t="str" cm="1">
        <f t="array" ref="U115">_xlfn.IFS(T115&lt;1,"underpaid",T115&gt;1,"overpaid",T115=1,"median pay")</f>
        <v>underpaid</v>
      </c>
      <c r="V115" s="5"/>
    </row>
    <row r="116" spans="1:22" x14ac:dyDescent="0.3">
      <c r="A116" s="21" t="s">
        <v>127</v>
      </c>
      <c r="B116" s="8" t="s">
        <v>1126</v>
      </c>
      <c r="C116" s="8" t="s">
        <v>2012</v>
      </c>
      <c r="D116" s="9">
        <v>44834</v>
      </c>
      <c r="E116" s="10">
        <f t="shared" si="10"/>
        <v>555828</v>
      </c>
      <c r="F116" s="8">
        <v>40113</v>
      </c>
      <c r="G116" s="8">
        <v>6206</v>
      </c>
      <c r="H116" s="11">
        <f t="shared" si="11"/>
        <v>20056.5</v>
      </c>
      <c r="I116" s="11">
        <f t="shared" si="12"/>
        <v>8022.6</v>
      </c>
      <c r="J116" s="11">
        <f t="shared" si="13"/>
        <v>12033.900000000001</v>
      </c>
      <c r="K116" s="11">
        <f t="shared" si="14"/>
        <v>2406.7799999999997</v>
      </c>
      <c r="L116" s="8">
        <v>200</v>
      </c>
      <c r="M116" s="8">
        <f t="shared" si="15"/>
        <v>208</v>
      </c>
      <c r="N116" s="11">
        <v>0</v>
      </c>
      <c r="O116" s="11">
        <f t="shared" si="16"/>
        <v>96.425480769230774</v>
      </c>
      <c r="P116" s="11">
        <f t="shared" si="17"/>
        <v>192.85096153846155</v>
      </c>
      <c r="Q116" s="11">
        <f t="shared" si="18"/>
        <v>0</v>
      </c>
      <c r="R116" s="8">
        <v>44047</v>
      </c>
      <c r="S116" s="11">
        <f t="shared" si="19"/>
        <v>50253</v>
      </c>
      <c r="T116" s="20">
        <f>S116/median_percentile!$B$1</f>
        <v>0.99711300931575342</v>
      </c>
      <c r="U116" s="24" t="str" cm="1">
        <f t="array" ref="U116">_xlfn.IFS(T116&lt;1,"underpaid",T116&gt;1,"overpaid",T116=1,"median pay")</f>
        <v>underpaid</v>
      </c>
      <c r="V116" s="5"/>
    </row>
    <row r="117" spans="1:22" x14ac:dyDescent="0.3">
      <c r="A117" s="22" t="s">
        <v>128</v>
      </c>
      <c r="B117" s="12" t="s">
        <v>1127</v>
      </c>
      <c r="C117" s="12" t="s">
        <v>2012</v>
      </c>
      <c r="D117" s="13">
        <v>43960</v>
      </c>
      <c r="E117" s="14">
        <f t="shared" si="10"/>
        <v>426864</v>
      </c>
      <c r="F117" s="12">
        <v>31849</v>
      </c>
      <c r="G117" s="12">
        <v>3723</v>
      </c>
      <c r="H117" s="15">
        <f t="shared" si="11"/>
        <v>15924.5</v>
      </c>
      <c r="I117" s="15">
        <f t="shared" si="12"/>
        <v>6369.8</v>
      </c>
      <c r="J117" s="15">
        <f t="shared" si="13"/>
        <v>9554.7000000000007</v>
      </c>
      <c r="K117" s="15">
        <f t="shared" si="14"/>
        <v>1910.9399999999998</v>
      </c>
      <c r="L117" s="12">
        <v>200</v>
      </c>
      <c r="M117" s="12">
        <f t="shared" si="15"/>
        <v>208</v>
      </c>
      <c r="N117" s="15">
        <v>0</v>
      </c>
      <c r="O117" s="15">
        <f t="shared" si="16"/>
        <v>76.56009615384616</v>
      </c>
      <c r="P117" s="15">
        <f t="shared" si="17"/>
        <v>153.12019230769232</v>
      </c>
      <c r="Q117" s="15">
        <f t="shared" si="18"/>
        <v>0</v>
      </c>
      <c r="R117" s="12">
        <v>33462</v>
      </c>
      <c r="S117" s="15">
        <f t="shared" si="19"/>
        <v>37185</v>
      </c>
      <c r="T117" s="20">
        <f>S117/median_percentile!$B$1</f>
        <v>0.73781957796362985</v>
      </c>
      <c r="U117" s="24" t="str" cm="1">
        <f t="array" ref="U117">_xlfn.IFS(T117&lt;1,"underpaid",T117&gt;1,"overpaid",T117=1,"median pay")</f>
        <v>underpaid</v>
      </c>
      <c r="V117" s="5"/>
    </row>
    <row r="118" spans="1:22" x14ac:dyDescent="0.3">
      <c r="A118" s="21" t="s">
        <v>129</v>
      </c>
      <c r="B118" s="8" t="s">
        <v>1128</v>
      </c>
      <c r="C118" s="8" t="s">
        <v>2014</v>
      </c>
      <c r="D118" s="9">
        <v>44701</v>
      </c>
      <c r="E118" s="10">
        <f t="shared" si="10"/>
        <v>581328</v>
      </c>
      <c r="F118" s="8">
        <v>42602</v>
      </c>
      <c r="G118" s="8">
        <v>5842</v>
      </c>
      <c r="H118" s="11">
        <f t="shared" si="11"/>
        <v>21301</v>
      </c>
      <c r="I118" s="11">
        <f t="shared" si="12"/>
        <v>8520.4</v>
      </c>
      <c r="J118" s="11">
        <f t="shared" si="13"/>
        <v>12780.599999999999</v>
      </c>
      <c r="K118" s="11">
        <f t="shared" si="14"/>
        <v>2556.12</v>
      </c>
      <c r="L118" s="8">
        <v>200</v>
      </c>
      <c r="M118" s="8">
        <f t="shared" si="15"/>
        <v>208</v>
      </c>
      <c r="N118" s="11">
        <v>5</v>
      </c>
      <c r="O118" s="11">
        <f t="shared" si="16"/>
        <v>102.40865384615384</v>
      </c>
      <c r="P118" s="11">
        <f t="shared" si="17"/>
        <v>204.81730769230768</v>
      </c>
      <c r="Q118" s="11">
        <f t="shared" si="18"/>
        <v>1024.0865384615383</v>
      </c>
      <c r="R118" s="8">
        <v>46043</v>
      </c>
      <c r="S118" s="11">
        <f t="shared" si="19"/>
        <v>51885</v>
      </c>
      <c r="T118" s="20">
        <f>S118/median_percentile!$B$1</f>
        <v>1.0294949254442096</v>
      </c>
      <c r="U118" s="24" t="str" cm="1">
        <f t="array" ref="U118">_xlfn.IFS(T118&lt;1,"underpaid",T118&gt;1,"overpaid",T118=1,"median pay")</f>
        <v>overpaid</v>
      </c>
      <c r="V118" s="5"/>
    </row>
    <row r="119" spans="1:22" x14ac:dyDescent="0.3">
      <c r="A119" s="22" t="s">
        <v>130</v>
      </c>
      <c r="B119" s="12" t="s">
        <v>1129</v>
      </c>
      <c r="C119" s="12" t="s">
        <v>2013</v>
      </c>
      <c r="D119" s="13">
        <v>45056</v>
      </c>
      <c r="E119" s="14">
        <f t="shared" si="10"/>
        <v>758580</v>
      </c>
      <c r="F119" s="12">
        <v>55505</v>
      </c>
      <c r="G119" s="12">
        <v>7710</v>
      </c>
      <c r="H119" s="15">
        <f t="shared" si="11"/>
        <v>27752.5</v>
      </c>
      <c r="I119" s="15">
        <f t="shared" si="12"/>
        <v>11101</v>
      </c>
      <c r="J119" s="15">
        <f t="shared" si="13"/>
        <v>16651.5</v>
      </c>
      <c r="K119" s="15">
        <f t="shared" si="14"/>
        <v>3330.2999999999997</v>
      </c>
      <c r="L119" s="12">
        <v>200</v>
      </c>
      <c r="M119" s="12">
        <f t="shared" si="15"/>
        <v>208</v>
      </c>
      <c r="N119" s="15">
        <v>1</v>
      </c>
      <c r="O119" s="15">
        <f t="shared" si="16"/>
        <v>133.42548076923077</v>
      </c>
      <c r="P119" s="15">
        <f t="shared" si="17"/>
        <v>266.85096153846155</v>
      </c>
      <c r="Q119" s="15">
        <f t="shared" si="18"/>
        <v>266.85096153846155</v>
      </c>
      <c r="R119" s="12">
        <v>60610</v>
      </c>
      <c r="S119" s="15">
        <f t="shared" si="19"/>
        <v>68320</v>
      </c>
      <c r="T119" s="20">
        <f>S119/median_percentile!$B$1</f>
        <v>1.3555959006716469</v>
      </c>
      <c r="U119" s="24" t="str" cm="1">
        <f t="array" ref="U119">_xlfn.IFS(T119&lt;1,"underpaid",T119&gt;1,"overpaid",T119=1,"median pay")</f>
        <v>overpaid</v>
      </c>
      <c r="V119" s="5"/>
    </row>
    <row r="120" spans="1:22" x14ac:dyDescent="0.3">
      <c r="A120" s="21" t="s">
        <v>131</v>
      </c>
      <c r="B120" s="8" t="s">
        <v>1130</v>
      </c>
      <c r="C120" s="8" t="s">
        <v>2013</v>
      </c>
      <c r="D120" s="9">
        <v>45198</v>
      </c>
      <c r="E120" s="10">
        <f t="shared" si="10"/>
        <v>645156</v>
      </c>
      <c r="F120" s="8">
        <v>46116</v>
      </c>
      <c r="G120" s="8">
        <v>7647</v>
      </c>
      <c r="H120" s="11">
        <f t="shared" si="11"/>
        <v>23058</v>
      </c>
      <c r="I120" s="11">
        <f t="shared" si="12"/>
        <v>9223.2000000000007</v>
      </c>
      <c r="J120" s="11">
        <f t="shared" si="13"/>
        <v>13834.8</v>
      </c>
      <c r="K120" s="11">
        <f t="shared" si="14"/>
        <v>2766.96</v>
      </c>
      <c r="L120" s="8">
        <v>200</v>
      </c>
      <c r="M120" s="8">
        <f t="shared" si="15"/>
        <v>208</v>
      </c>
      <c r="N120" s="11">
        <v>5</v>
      </c>
      <c r="O120" s="11">
        <f t="shared" si="16"/>
        <v>110.85576923076923</v>
      </c>
      <c r="P120" s="11">
        <f t="shared" si="17"/>
        <v>221.71153846153845</v>
      </c>
      <c r="Q120" s="11">
        <f t="shared" si="18"/>
        <v>1108.5576923076924</v>
      </c>
      <c r="R120" s="8">
        <v>51565</v>
      </c>
      <c r="S120" s="11">
        <f t="shared" si="19"/>
        <v>59212</v>
      </c>
      <c r="T120" s="20">
        <f>S120/median_percentile!$B$1</f>
        <v>1.1748762363959244</v>
      </c>
      <c r="U120" s="24" t="str" cm="1">
        <f t="array" ref="U120">_xlfn.IFS(T120&lt;1,"underpaid",T120&gt;1,"overpaid",T120=1,"median pay")</f>
        <v>overpaid</v>
      </c>
      <c r="V120" s="5"/>
    </row>
    <row r="121" spans="1:22" x14ac:dyDescent="0.3">
      <c r="A121" s="22" t="s">
        <v>132</v>
      </c>
      <c r="B121" s="12" t="s">
        <v>1131</v>
      </c>
      <c r="C121" s="12" t="s">
        <v>2013</v>
      </c>
      <c r="D121" s="13">
        <v>45277</v>
      </c>
      <c r="E121" s="14">
        <f t="shared" si="10"/>
        <v>828240</v>
      </c>
      <c r="F121" s="12">
        <v>58629</v>
      </c>
      <c r="G121" s="12">
        <v>10391</v>
      </c>
      <c r="H121" s="15">
        <f t="shared" si="11"/>
        <v>29314.5</v>
      </c>
      <c r="I121" s="15">
        <f t="shared" si="12"/>
        <v>11725.800000000001</v>
      </c>
      <c r="J121" s="15">
        <f t="shared" si="13"/>
        <v>17588.699999999997</v>
      </c>
      <c r="K121" s="15">
        <f t="shared" si="14"/>
        <v>3517.74</v>
      </c>
      <c r="L121" s="12">
        <v>200</v>
      </c>
      <c r="M121" s="12">
        <f t="shared" si="15"/>
        <v>208</v>
      </c>
      <c r="N121" s="15">
        <v>1</v>
      </c>
      <c r="O121" s="15">
        <f t="shared" si="16"/>
        <v>140.93509615384616</v>
      </c>
      <c r="P121" s="15">
        <f t="shared" si="17"/>
        <v>281.87019230769232</v>
      </c>
      <c r="Q121" s="15">
        <f t="shared" si="18"/>
        <v>281.87019230769232</v>
      </c>
      <c r="R121" s="12">
        <v>65303</v>
      </c>
      <c r="S121" s="15">
        <f t="shared" si="19"/>
        <v>75694</v>
      </c>
      <c r="T121" s="20">
        <f>S121/median_percentile!$B$1</f>
        <v>1.5019097790608849</v>
      </c>
      <c r="U121" s="24" t="str" cm="1">
        <f t="array" ref="U121">_xlfn.IFS(T121&lt;1,"underpaid",T121&gt;1,"overpaid",T121=1,"median pay")</f>
        <v>overpaid</v>
      </c>
      <c r="V121" s="5"/>
    </row>
    <row r="122" spans="1:22" x14ac:dyDescent="0.3">
      <c r="A122" s="21" t="s">
        <v>133</v>
      </c>
      <c r="B122" s="8" t="s">
        <v>1132</v>
      </c>
      <c r="C122" s="8" t="s">
        <v>2013</v>
      </c>
      <c r="D122" s="9">
        <v>45040</v>
      </c>
      <c r="E122" s="10">
        <f t="shared" si="10"/>
        <v>685236</v>
      </c>
      <c r="F122" s="8">
        <v>47764</v>
      </c>
      <c r="G122" s="8">
        <v>9339</v>
      </c>
      <c r="H122" s="11">
        <f t="shared" si="11"/>
        <v>23882</v>
      </c>
      <c r="I122" s="11">
        <f t="shared" si="12"/>
        <v>9552.8000000000011</v>
      </c>
      <c r="J122" s="11">
        <f t="shared" si="13"/>
        <v>14329.199999999997</v>
      </c>
      <c r="K122" s="11">
        <f t="shared" si="14"/>
        <v>2865.8399999999997</v>
      </c>
      <c r="L122" s="8">
        <v>200</v>
      </c>
      <c r="M122" s="8">
        <f t="shared" si="15"/>
        <v>208</v>
      </c>
      <c r="N122" s="11">
        <v>4</v>
      </c>
      <c r="O122" s="11">
        <f t="shared" si="16"/>
        <v>114.81730769230769</v>
      </c>
      <c r="P122" s="11">
        <f t="shared" si="17"/>
        <v>229.63461538461539</v>
      </c>
      <c r="Q122" s="11">
        <f t="shared" si="18"/>
        <v>918.53846153846155</v>
      </c>
      <c r="R122" s="8">
        <v>54834</v>
      </c>
      <c r="S122" s="11">
        <f t="shared" si="19"/>
        <v>64173</v>
      </c>
      <c r="T122" s="20">
        <f>S122/median_percentile!$B$1</f>
        <v>1.273311705705527</v>
      </c>
      <c r="U122" s="24" t="str" cm="1">
        <f t="array" ref="U122">_xlfn.IFS(T122&lt;1,"underpaid",T122&gt;1,"overpaid",T122=1,"median pay")</f>
        <v>overpaid</v>
      </c>
      <c r="V122" s="5"/>
    </row>
    <row r="123" spans="1:22" x14ac:dyDescent="0.3">
      <c r="A123" s="22" t="s">
        <v>134</v>
      </c>
      <c r="B123" s="12" t="s">
        <v>1133</v>
      </c>
      <c r="C123" s="12" t="s">
        <v>2013</v>
      </c>
      <c r="D123" s="13">
        <v>43468</v>
      </c>
      <c r="E123" s="14">
        <f t="shared" si="10"/>
        <v>730848</v>
      </c>
      <c r="F123" s="12">
        <v>53932</v>
      </c>
      <c r="G123" s="12">
        <v>6972</v>
      </c>
      <c r="H123" s="15">
        <f t="shared" si="11"/>
        <v>26966</v>
      </c>
      <c r="I123" s="15">
        <f t="shared" si="12"/>
        <v>10786.400000000001</v>
      </c>
      <c r="J123" s="15">
        <f t="shared" si="13"/>
        <v>16179.599999999999</v>
      </c>
      <c r="K123" s="15">
        <f t="shared" si="14"/>
        <v>3235.92</v>
      </c>
      <c r="L123" s="12">
        <v>200</v>
      </c>
      <c r="M123" s="12">
        <f t="shared" si="15"/>
        <v>208</v>
      </c>
      <c r="N123" s="15">
        <v>0</v>
      </c>
      <c r="O123" s="15">
        <f t="shared" si="16"/>
        <v>129.64423076923077</v>
      </c>
      <c r="P123" s="15">
        <f t="shared" si="17"/>
        <v>259.28846153846155</v>
      </c>
      <c r="Q123" s="15">
        <f t="shared" si="18"/>
        <v>0</v>
      </c>
      <c r="R123" s="12">
        <v>57469</v>
      </c>
      <c r="S123" s="15">
        <f t="shared" si="19"/>
        <v>64441</v>
      </c>
      <c r="T123" s="20">
        <f>S123/median_percentile!$B$1</f>
        <v>1.278629324285445</v>
      </c>
      <c r="U123" s="24" t="str" cm="1">
        <f t="array" ref="U123">_xlfn.IFS(T123&lt;1,"underpaid",T123&gt;1,"overpaid",T123=1,"median pay")</f>
        <v>overpaid</v>
      </c>
      <c r="V123" s="5"/>
    </row>
    <row r="124" spans="1:22" x14ac:dyDescent="0.3">
      <c r="A124" s="21" t="s">
        <v>135</v>
      </c>
      <c r="B124" s="8" t="s">
        <v>1134</v>
      </c>
      <c r="C124" s="8" t="s">
        <v>2016</v>
      </c>
      <c r="D124" s="9">
        <v>43962</v>
      </c>
      <c r="E124" s="10">
        <f t="shared" si="10"/>
        <v>454212</v>
      </c>
      <c r="F124" s="8">
        <v>33631</v>
      </c>
      <c r="G124" s="8">
        <v>4220</v>
      </c>
      <c r="H124" s="11">
        <f t="shared" si="11"/>
        <v>16815.5</v>
      </c>
      <c r="I124" s="11">
        <f t="shared" si="12"/>
        <v>6726.2000000000007</v>
      </c>
      <c r="J124" s="11">
        <f t="shared" si="13"/>
        <v>10089.299999999999</v>
      </c>
      <c r="K124" s="11">
        <f t="shared" si="14"/>
        <v>2017.86</v>
      </c>
      <c r="L124" s="8">
        <v>200</v>
      </c>
      <c r="M124" s="8">
        <f t="shared" si="15"/>
        <v>208</v>
      </c>
      <c r="N124" s="11">
        <v>2</v>
      </c>
      <c r="O124" s="11">
        <f t="shared" si="16"/>
        <v>80.84375</v>
      </c>
      <c r="P124" s="11">
        <f t="shared" si="17"/>
        <v>161.6875</v>
      </c>
      <c r="Q124" s="11">
        <f t="shared" si="18"/>
        <v>323.375</v>
      </c>
      <c r="R124" s="8">
        <v>35634</v>
      </c>
      <c r="S124" s="11">
        <f t="shared" si="19"/>
        <v>39854</v>
      </c>
      <c r="T124" s="20">
        <f>S124/median_percentile!$B$1</f>
        <v>0.79077750329870933</v>
      </c>
      <c r="U124" s="24" t="str" cm="1">
        <f t="array" ref="U124">_xlfn.IFS(T124&lt;1,"underpaid",T124&gt;1,"overpaid",T124=1,"median pay")</f>
        <v>underpaid</v>
      </c>
      <c r="V124" s="5"/>
    </row>
    <row r="125" spans="1:22" x14ac:dyDescent="0.3">
      <c r="A125" s="22" t="s">
        <v>136</v>
      </c>
      <c r="B125" s="12" t="s">
        <v>1135</v>
      </c>
      <c r="C125" s="12" t="s">
        <v>2013</v>
      </c>
      <c r="D125" s="13">
        <v>44915</v>
      </c>
      <c r="E125" s="14">
        <f t="shared" si="10"/>
        <v>499068</v>
      </c>
      <c r="F125" s="12">
        <v>35715</v>
      </c>
      <c r="G125" s="12">
        <v>5874</v>
      </c>
      <c r="H125" s="15">
        <f t="shared" si="11"/>
        <v>17857.5</v>
      </c>
      <c r="I125" s="15">
        <f t="shared" si="12"/>
        <v>7143</v>
      </c>
      <c r="J125" s="15">
        <f t="shared" si="13"/>
        <v>10714.5</v>
      </c>
      <c r="K125" s="15">
        <f t="shared" si="14"/>
        <v>2142.9</v>
      </c>
      <c r="L125" s="12">
        <v>200</v>
      </c>
      <c r="M125" s="12">
        <f t="shared" si="15"/>
        <v>208</v>
      </c>
      <c r="N125" s="15">
        <v>4</v>
      </c>
      <c r="O125" s="15">
        <f t="shared" si="16"/>
        <v>85.853365384615387</v>
      </c>
      <c r="P125" s="15">
        <f t="shared" si="17"/>
        <v>171.70673076923077</v>
      </c>
      <c r="Q125" s="15">
        <f t="shared" si="18"/>
        <v>686.82692307692309</v>
      </c>
      <c r="R125" s="12">
        <v>39842</v>
      </c>
      <c r="S125" s="15">
        <f t="shared" si="19"/>
        <v>45716</v>
      </c>
      <c r="T125" s="20">
        <f>S125/median_percentile!$B$1</f>
        <v>0.90709048880423027</v>
      </c>
      <c r="U125" s="24" t="str" cm="1">
        <f t="array" ref="U125">_xlfn.IFS(T125&lt;1,"underpaid",T125&gt;1,"overpaid",T125=1,"median pay")</f>
        <v>underpaid</v>
      </c>
      <c r="V125" s="5"/>
    </row>
    <row r="126" spans="1:22" x14ac:dyDescent="0.3">
      <c r="A126" s="21" t="s">
        <v>137</v>
      </c>
      <c r="B126" s="8" t="s">
        <v>1136</v>
      </c>
      <c r="C126" s="8" t="s">
        <v>2012</v>
      </c>
      <c r="D126" s="9">
        <v>45289</v>
      </c>
      <c r="E126" s="10">
        <f t="shared" si="10"/>
        <v>589284</v>
      </c>
      <c r="F126" s="8">
        <v>43734</v>
      </c>
      <c r="G126" s="8">
        <v>5373</v>
      </c>
      <c r="H126" s="11">
        <f t="shared" si="11"/>
        <v>21867</v>
      </c>
      <c r="I126" s="11">
        <f t="shared" si="12"/>
        <v>8746.8000000000011</v>
      </c>
      <c r="J126" s="11">
        <f t="shared" si="13"/>
        <v>13120.199999999997</v>
      </c>
      <c r="K126" s="11">
        <f t="shared" si="14"/>
        <v>2624.04</v>
      </c>
      <c r="L126" s="8">
        <v>200</v>
      </c>
      <c r="M126" s="8">
        <f t="shared" si="15"/>
        <v>208</v>
      </c>
      <c r="N126" s="11">
        <v>5</v>
      </c>
      <c r="O126" s="11">
        <f t="shared" si="16"/>
        <v>105.12980769230769</v>
      </c>
      <c r="P126" s="11">
        <f t="shared" si="17"/>
        <v>210.25961538461539</v>
      </c>
      <c r="Q126" s="11">
        <f t="shared" si="18"/>
        <v>1051.2980769230769</v>
      </c>
      <c r="R126" s="8">
        <v>47011</v>
      </c>
      <c r="S126" s="11">
        <f t="shared" si="19"/>
        <v>52384</v>
      </c>
      <c r="T126" s="20">
        <f>S126/median_percentile!$B$1</f>
        <v>1.0393960137702511</v>
      </c>
      <c r="U126" s="24" t="str" cm="1">
        <f t="array" ref="U126">_xlfn.IFS(T126&lt;1,"underpaid",T126&gt;1,"overpaid",T126=1,"median pay")</f>
        <v>overpaid</v>
      </c>
      <c r="V126" s="5"/>
    </row>
    <row r="127" spans="1:22" x14ac:dyDescent="0.3">
      <c r="A127" s="22" t="s">
        <v>138</v>
      </c>
      <c r="B127" s="12" t="s">
        <v>1137</v>
      </c>
      <c r="C127" s="12" t="s">
        <v>2014</v>
      </c>
      <c r="D127" s="13">
        <v>43944</v>
      </c>
      <c r="E127" s="14">
        <f t="shared" si="10"/>
        <v>719592</v>
      </c>
      <c r="F127" s="12">
        <v>53266</v>
      </c>
      <c r="G127" s="12">
        <v>6700</v>
      </c>
      <c r="H127" s="15">
        <f t="shared" si="11"/>
        <v>26633</v>
      </c>
      <c r="I127" s="15">
        <f t="shared" si="12"/>
        <v>10653.2</v>
      </c>
      <c r="J127" s="15">
        <f t="shared" si="13"/>
        <v>15979.800000000003</v>
      </c>
      <c r="K127" s="15">
        <f t="shared" si="14"/>
        <v>3195.96</v>
      </c>
      <c r="L127" s="12">
        <v>200</v>
      </c>
      <c r="M127" s="12">
        <f t="shared" si="15"/>
        <v>208</v>
      </c>
      <c r="N127" s="15">
        <v>5</v>
      </c>
      <c r="O127" s="15">
        <f t="shared" si="16"/>
        <v>128.04326923076923</v>
      </c>
      <c r="P127" s="15">
        <f t="shared" si="17"/>
        <v>256.08653846153845</v>
      </c>
      <c r="Q127" s="15">
        <f t="shared" si="18"/>
        <v>1280.4326923076924</v>
      </c>
      <c r="R127" s="12">
        <v>56571</v>
      </c>
      <c r="S127" s="15">
        <f t="shared" si="19"/>
        <v>63271</v>
      </c>
      <c r="T127" s="20">
        <f>S127/median_percentile!$B$1</f>
        <v>1.2554143476492357</v>
      </c>
      <c r="U127" s="24" t="str" cm="1">
        <f t="array" ref="U127">_xlfn.IFS(T127&lt;1,"underpaid",T127&gt;1,"overpaid",T127=1,"median pay")</f>
        <v>overpaid</v>
      </c>
      <c r="V127" s="5"/>
    </row>
    <row r="128" spans="1:22" x14ac:dyDescent="0.3">
      <c r="A128" s="21" t="s">
        <v>139</v>
      </c>
      <c r="B128" s="8" t="s">
        <v>1138</v>
      </c>
      <c r="C128" s="8" t="s">
        <v>2014</v>
      </c>
      <c r="D128" s="9">
        <v>44845</v>
      </c>
      <c r="E128" s="10">
        <f t="shared" si="10"/>
        <v>869556</v>
      </c>
      <c r="F128" s="8">
        <v>62760</v>
      </c>
      <c r="G128" s="8">
        <v>9703</v>
      </c>
      <c r="H128" s="11">
        <f t="shared" si="11"/>
        <v>31380</v>
      </c>
      <c r="I128" s="11">
        <f t="shared" si="12"/>
        <v>12552</v>
      </c>
      <c r="J128" s="11">
        <f t="shared" si="13"/>
        <v>18828</v>
      </c>
      <c r="K128" s="11">
        <f t="shared" si="14"/>
        <v>3765.6</v>
      </c>
      <c r="L128" s="8">
        <v>200</v>
      </c>
      <c r="M128" s="8">
        <f t="shared" si="15"/>
        <v>208</v>
      </c>
      <c r="N128" s="11">
        <v>2</v>
      </c>
      <c r="O128" s="11">
        <f t="shared" si="16"/>
        <v>150.86538461538461</v>
      </c>
      <c r="P128" s="11">
        <f t="shared" si="17"/>
        <v>301.73076923076923</v>
      </c>
      <c r="Q128" s="11">
        <f t="shared" si="18"/>
        <v>603.46153846153845</v>
      </c>
      <c r="R128" s="8">
        <v>68498</v>
      </c>
      <c r="S128" s="11">
        <f t="shared" si="19"/>
        <v>78201</v>
      </c>
      <c r="T128" s="20">
        <f>S128/median_percentile!$B$1</f>
        <v>1.551653323015566</v>
      </c>
      <c r="U128" s="24" t="str" cm="1">
        <f t="array" ref="U128">_xlfn.IFS(T128&lt;1,"underpaid",T128&gt;1,"overpaid",T128=1,"median pay")</f>
        <v>overpaid</v>
      </c>
      <c r="V128" s="5"/>
    </row>
    <row r="129" spans="1:22" x14ac:dyDescent="0.3">
      <c r="A129" s="22" t="s">
        <v>140</v>
      </c>
      <c r="B129" s="12" t="s">
        <v>1139</v>
      </c>
      <c r="C129" s="12" t="s">
        <v>2014</v>
      </c>
      <c r="D129" s="13">
        <v>45876</v>
      </c>
      <c r="E129" s="14">
        <f t="shared" si="10"/>
        <v>635808</v>
      </c>
      <c r="F129" s="12">
        <v>44676</v>
      </c>
      <c r="G129" s="12">
        <v>8308</v>
      </c>
      <c r="H129" s="15">
        <f t="shared" si="11"/>
        <v>22338</v>
      </c>
      <c r="I129" s="15">
        <f t="shared" si="12"/>
        <v>8935.2000000000007</v>
      </c>
      <c r="J129" s="15">
        <f t="shared" si="13"/>
        <v>13402.8</v>
      </c>
      <c r="K129" s="15">
        <f t="shared" si="14"/>
        <v>2680.56</v>
      </c>
      <c r="L129" s="12">
        <v>200</v>
      </c>
      <c r="M129" s="12">
        <f t="shared" si="15"/>
        <v>208</v>
      </c>
      <c r="N129" s="15">
        <v>0</v>
      </c>
      <c r="O129" s="15">
        <f t="shared" si="16"/>
        <v>107.39423076923077</v>
      </c>
      <c r="P129" s="15">
        <f t="shared" si="17"/>
        <v>214.78846153846155</v>
      </c>
      <c r="Q129" s="15">
        <f t="shared" si="18"/>
        <v>0</v>
      </c>
      <c r="R129" s="12">
        <v>50476</v>
      </c>
      <c r="S129" s="15">
        <f t="shared" si="19"/>
        <v>58784</v>
      </c>
      <c r="T129" s="20">
        <f>S129/median_percentile!$B$1</f>
        <v>1.1663839201563539</v>
      </c>
      <c r="U129" s="24" t="str" cm="1">
        <f t="array" ref="U129">_xlfn.IFS(T129&lt;1,"underpaid",T129&gt;1,"overpaid",T129=1,"median pay")</f>
        <v>overpaid</v>
      </c>
      <c r="V129" s="5"/>
    </row>
    <row r="130" spans="1:22" x14ac:dyDescent="0.3">
      <c r="A130" s="21" t="s">
        <v>141</v>
      </c>
      <c r="B130" s="8" t="s">
        <v>1140</v>
      </c>
      <c r="C130" s="8" t="s">
        <v>2012</v>
      </c>
      <c r="D130" s="9">
        <v>45353</v>
      </c>
      <c r="E130" s="10">
        <f t="shared" ref="E130:E193" si="20">(F130*12)+(G130*12)</f>
        <v>520200</v>
      </c>
      <c r="F130" s="8">
        <v>37257</v>
      </c>
      <c r="G130" s="8">
        <v>6093</v>
      </c>
      <c r="H130" s="11">
        <f t="shared" ref="H130:H193" si="21">F130*50%</f>
        <v>18628.5</v>
      </c>
      <c r="I130" s="11">
        <f t="shared" ref="I130:I193" si="22">H130*40%</f>
        <v>7451.4000000000005</v>
      </c>
      <c r="J130" s="11">
        <f t="shared" ref="J130:J193" si="23">F130-(H130+I130)</f>
        <v>11177.099999999999</v>
      </c>
      <c r="K130" s="11">
        <f t="shared" ref="K130:K193" si="24">H130*12%</f>
        <v>2235.42</v>
      </c>
      <c r="L130" s="8">
        <v>200</v>
      </c>
      <c r="M130" s="8">
        <f t="shared" si="15"/>
        <v>208</v>
      </c>
      <c r="N130" s="11">
        <v>1</v>
      </c>
      <c r="O130" s="11">
        <f t="shared" si="16"/>
        <v>89.56009615384616</v>
      </c>
      <c r="P130" s="11">
        <f t="shared" si="17"/>
        <v>179.12019230769232</v>
      </c>
      <c r="Q130" s="11">
        <f t="shared" si="18"/>
        <v>179.12019230769232</v>
      </c>
      <c r="R130" s="8">
        <v>41535</v>
      </c>
      <c r="S130" s="11">
        <f t="shared" si="19"/>
        <v>47628</v>
      </c>
      <c r="T130" s="20">
        <f>S130/median_percentile!$B$1</f>
        <v>0.94502812583707851</v>
      </c>
      <c r="U130" s="24" t="str" cm="1">
        <f t="array" ref="U130">_xlfn.IFS(T130&lt;1,"underpaid",T130&gt;1,"overpaid",T130=1,"median pay")</f>
        <v>underpaid</v>
      </c>
      <c r="V130" s="5"/>
    </row>
    <row r="131" spans="1:22" x14ac:dyDescent="0.3">
      <c r="A131" s="22" t="s">
        <v>142</v>
      </c>
      <c r="B131" s="12" t="s">
        <v>1141</v>
      </c>
      <c r="C131" s="12" t="s">
        <v>2011</v>
      </c>
      <c r="D131" s="13">
        <v>44336</v>
      </c>
      <c r="E131" s="14">
        <f t="shared" si="20"/>
        <v>405936</v>
      </c>
      <c r="F131" s="12">
        <v>28219</v>
      </c>
      <c r="G131" s="12">
        <v>5609</v>
      </c>
      <c r="H131" s="15">
        <f t="shared" si="21"/>
        <v>14109.5</v>
      </c>
      <c r="I131" s="15">
        <f t="shared" si="22"/>
        <v>5643.8</v>
      </c>
      <c r="J131" s="15">
        <f t="shared" si="23"/>
        <v>8465.7000000000007</v>
      </c>
      <c r="K131" s="15">
        <f t="shared" si="24"/>
        <v>1693.1399999999999</v>
      </c>
      <c r="L131" s="12">
        <v>200</v>
      </c>
      <c r="M131" s="12">
        <f t="shared" ref="M131:M194" si="25">8*26</f>
        <v>208</v>
      </c>
      <c r="N131" s="15">
        <v>4</v>
      </c>
      <c r="O131" s="15">
        <f t="shared" ref="O131:O194" si="26">H131/M131</f>
        <v>67.834134615384613</v>
      </c>
      <c r="P131" s="15">
        <f t="shared" ref="P131:P194" si="27">O131*2</f>
        <v>135.66826923076923</v>
      </c>
      <c r="Q131" s="15">
        <f t="shared" ref="Q131:Q194" si="28">P131*N131</f>
        <v>542.67307692307691</v>
      </c>
      <c r="R131" s="12">
        <v>32170</v>
      </c>
      <c r="S131" s="15">
        <f t="shared" ref="S131:T194" si="29">R131+G131</f>
        <v>37779</v>
      </c>
      <c r="T131" s="20">
        <f>S131/median_percentile!$B$1</f>
        <v>0.74960564302509003</v>
      </c>
      <c r="U131" s="24" t="str" cm="1">
        <f t="array" ref="U131">_xlfn.IFS(T131&lt;1,"underpaid",T131&gt;1,"overpaid",T131=1,"median pay")</f>
        <v>underpaid</v>
      </c>
      <c r="V131" s="5"/>
    </row>
    <row r="132" spans="1:22" x14ac:dyDescent="0.3">
      <c r="A132" s="21" t="s">
        <v>143</v>
      </c>
      <c r="B132" s="8" t="s">
        <v>1142</v>
      </c>
      <c r="C132" s="8" t="s">
        <v>2014</v>
      </c>
      <c r="D132" s="9">
        <v>44996</v>
      </c>
      <c r="E132" s="10">
        <f t="shared" si="20"/>
        <v>663756</v>
      </c>
      <c r="F132" s="8">
        <v>50192</v>
      </c>
      <c r="G132" s="8">
        <v>5121</v>
      </c>
      <c r="H132" s="11">
        <f t="shared" si="21"/>
        <v>25096</v>
      </c>
      <c r="I132" s="11">
        <f t="shared" si="22"/>
        <v>10038.400000000001</v>
      </c>
      <c r="J132" s="11">
        <f t="shared" si="23"/>
        <v>15057.599999999999</v>
      </c>
      <c r="K132" s="11">
        <f t="shared" si="24"/>
        <v>3011.52</v>
      </c>
      <c r="L132" s="8">
        <v>200</v>
      </c>
      <c r="M132" s="8">
        <f t="shared" si="25"/>
        <v>208</v>
      </c>
      <c r="N132" s="11">
        <v>4</v>
      </c>
      <c r="O132" s="11">
        <f t="shared" si="26"/>
        <v>120.65384615384616</v>
      </c>
      <c r="P132" s="11">
        <f t="shared" si="27"/>
        <v>241.30769230769232</v>
      </c>
      <c r="Q132" s="11">
        <f t="shared" si="28"/>
        <v>965.23076923076928</v>
      </c>
      <c r="R132" s="8">
        <v>52520</v>
      </c>
      <c r="S132" s="11">
        <f t="shared" si="29"/>
        <v>57641</v>
      </c>
      <c r="T132" s="20">
        <f>S132/median_percentile!$B$1</f>
        <v>1.1437046737502108</v>
      </c>
      <c r="U132" s="24" t="str" cm="1">
        <f t="array" ref="U132">_xlfn.IFS(T132&lt;1,"underpaid",T132&gt;1,"overpaid",T132=1,"median pay")</f>
        <v>overpaid</v>
      </c>
      <c r="V132" s="5"/>
    </row>
    <row r="133" spans="1:22" x14ac:dyDescent="0.3">
      <c r="A133" s="22" t="s">
        <v>144</v>
      </c>
      <c r="B133" s="12" t="s">
        <v>1143</v>
      </c>
      <c r="C133" s="12" t="s">
        <v>2016</v>
      </c>
      <c r="D133" s="13">
        <v>43827</v>
      </c>
      <c r="E133" s="14">
        <f t="shared" si="20"/>
        <v>480936</v>
      </c>
      <c r="F133" s="12">
        <v>35387</v>
      </c>
      <c r="G133" s="12">
        <v>4691</v>
      </c>
      <c r="H133" s="15">
        <f t="shared" si="21"/>
        <v>17693.5</v>
      </c>
      <c r="I133" s="15">
        <f t="shared" si="22"/>
        <v>7077.4000000000005</v>
      </c>
      <c r="J133" s="15">
        <f t="shared" si="23"/>
        <v>10616.099999999999</v>
      </c>
      <c r="K133" s="15">
        <f t="shared" si="24"/>
        <v>2123.2199999999998</v>
      </c>
      <c r="L133" s="12">
        <v>200</v>
      </c>
      <c r="M133" s="12">
        <f t="shared" si="25"/>
        <v>208</v>
      </c>
      <c r="N133" s="15">
        <v>3</v>
      </c>
      <c r="O133" s="15">
        <f t="shared" si="26"/>
        <v>85.06490384615384</v>
      </c>
      <c r="P133" s="15">
        <f t="shared" si="27"/>
        <v>170.12980769230768</v>
      </c>
      <c r="Q133" s="15">
        <f t="shared" si="28"/>
        <v>510.38942307692304</v>
      </c>
      <c r="R133" s="12">
        <v>38344</v>
      </c>
      <c r="S133" s="15">
        <f t="shared" si="29"/>
        <v>43035</v>
      </c>
      <c r="T133" s="20">
        <f>S133/median_percentile!$B$1</f>
        <v>0.85389446114467693</v>
      </c>
      <c r="U133" s="24" t="str" cm="1">
        <f t="array" ref="U133">_xlfn.IFS(T133&lt;1,"underpaid",T133&gt;1,"overpaid",T133=1,"median pay")</f>
        <v>underpaid</v>
      </c>
      <c r="V133" s="5"/>
    </row>
    <row r="134" spans="1:22" x14ac:dyDescent="0.3">
      <c r="A134" s="21" t="s">
        <v>145</v>
      </c>
      <c r="B134" s="8" t="s">
        <v>1144</v>
      </c>
      <c r="C134" s="8" t="s">
        <v>2016</v>
      </c>
      <c r="D134" s="9">
        <v>44069</v>
      </c>
      <c r="E134" s="10">
        <f t="shared" si="20"/>
        <v>708840</v>
      </c>
      <c r="F134" s="8">
        <v>49944</v>
      </c>
      <c r="G134" s="8">
        <v>9126</v>
      </c>
      <c r="H134" s="11">
        <f t="shared" si="21"/>
        <v>24972</v>
      </c>
      <c r="I134" s="11">
        <f t="shared" si="22"/>
        <v>9988.8000000000011</v>
      </c>
      <c r="J134" s="11">
        <f t="shared" si="23"/>
        <v>14983.199999999997</v>
      </c>
      <c r="K134" s="11">
        <f t="shared" si="24"/>
        <v>2996.64</v>
      </c>
      <c r="L134" s="8">
        <v>200</v>
      </c>
      <c r="M134" s="8">
        <f t="shared" si="25"/>
        <v>208</v>
      </c>
      <c r="N134" s="11">
        <v>1</v>
      </c>
      <c r="O134" s="11">
        <f t="shared" si="26"/>
        <v>120.05769230769231</v>
      </c>
      <c r="P134" s="11">
        <f t="shared" si="27"/>
        <v>240.11538461538461</v>
      </c>
      <c r="Q134" s="11">
        <f t="shared" si="28"/>
        <v>240.11538461538461</v>
      </c>
      <c r="R134" s="8">
        <v>56706</v>
      </c>
      <c r="S134" s="11">
        <f t="shared" si="29"/>
        <v>65832</v>
      </c>
      <c r="T134" s="20">
        <f>S134/median_percentile!$B$1</f>
        <v>1.3062293520640496</v>
      </c>
      <c r="U134" s="24" t="str" cm="1">
        <f t="array" ref="U134">_xlfn.IFS(T134&lt;1,"underpaid",T134&gt;1,"overpaid",T134=1,"median pay")</f>
        <v>overpaid</v>
      </c>
      <c r="V134" s="5"/>
    </row>
    <row r="135" spans="1:22" x14ac:dyDescent="0.3">
      <c r="A135" s="22" t="s">
        <v>146</v>
      </c>
      <c r="B135" s="12" t="s">
        <v>1145</v>
      </c>
      <c r="C135" s="12" t="s">
        <v>2011</v>
      </c>
      <c r="D135" s="13">
        <v>45931</v>
      </c>
      <c r="E135" s="14">
        <f t="shared" si="20"/>
        <v>319152</v>
      </c>
      <c r="F135" s="12">
        <v>23529</v>
      </c>
      <c r="G135" s="12">
        <v>3067</v>
      </c>
      <c r="H135" s="15">
        <f t="shared" si="21"/>
        <v>11764.5</v>
      </c>
      <c r="I135" s="15">
        <f t="shared" si="22"/>
        <v>4705.8</v>
      </c>
      <c r="J135" s="15">
        <f t="shared" si="23"/>
        <v>7058.7000000000007</v>
      </c>
      <c r="K135" s="15">
        <f t="shared" si="24"/>
        <v>1411.74</v>
      </c>
      <c r="L135" s="12">
        <v>200</v>
      </c>
      <c r="M135" s="12">
        <f t="shared" si="25"/>
        <v>208</v>
      </c>
      <c r="N135" s="15">
        <v>3</v>
      </c>
      <c r="O135" s="15">
        <f t="shared" si="26"/>
        <v>56.560096153846153</v>
      </c>
      <c r="P135" s="15">
        <f t="shared" si="27"/>
        <v>113.12019230769231</v>
      </c>
      <c r="Q135" s="15">
        <f t="shared" si="28"/>
        <v>339.36057692307691</v>
      </c>
      <c r="R135" s="12">
        <v>25377</v>
      </c>
      <c r="S135" s="15">
        <f t="shared" si="29"/>
        <v>28444</v>
      </c>
      <c r="T135" s="20">
        <f>S135/median_percentile!$B$1</f>
        <v>0.56438187644473548</v>
      </c>
      <c r="U135" s="24" t="str" cm="1">
        <f t="array" ref="U135">_xlfn.IFS(T135&lt;1,"underpaid",T135&gt;1,"overpaid",T135=1,"median pay")</f>
        <v>underpaid</v>
      </c>
      <c r="V135" s="5"/>
    </row>
    <row r="136" spans="1:22" x14ac:dyDescent="0.3">
      <c r="A136" s="21" t="s">
        <v>147</v>
      </c>
      <c r="B136" s="8" t="s">
        <v>1146</v>
      </c>
      <c r="C136" s="8" t="s">
        <v>2011</v>
      </c>
      <c r="D136" s="9">
        <v>45768</v>
      </c>
      <c r="E136" s="10">
        <f t="shared" si="20"/>
        <v>413820</v>
      </c>
      <c r="F136" s="8">
        <v>30212</v>
      </c>
      <c r="G136" s="8">
        <v>4273</v>
      </c>
      <c r="H136" s="11">
        <f t="shared" si="21"/>
        <v>15106</v>
      </c>
      <c r="I136" s="11">
        <f t="shared" si="22"/>
        <v>6042.4000000000005</v>
      </c>
      <c r="J136" s="11">
        <f t="shared" si="23"/>
        <v>9063.5999999999985</v>
      </c>
      <c r="K136" s="11">
        <f t="shared" si="24"/>
        <v>1812.72</v>
      </c>
      <c r="L136" s="8">
        <v>200</v>
      </c>
      <c r="M136" s="8">
        <f t="shared" si="25"/>
        <v>208</v>
      </c>
      <c r="N136" s="11">
        <v>0</v>
      </c>
      <c r="O136" s="11">
        <f t="shared" si="26"/>
        <v>72.625</v>
      </c>
      <c r="P136" s="11">
        <f t="shared" si="27"/>
        <v>145.25</v>
      </c>
      <c r="Q136" s="11">
        <f t="shared" si="28"/>
        <v>0</v>
      </c>
      <c r="R136" s="8">
        <v>32976</v>
      </c>
      <c r="S136" s="11">
        <f t="shared" si="29"/>
        <v>37249</v>
      </c>
      <c r="T136" s="20">
        <f>S136/median_percentile!$B$1</f>
        <v>0.73908945702749085</v>
      </c>
      <c r="U136" s="24" t="str" cm="1">
        <f t="array" ref="U136">_xlfn.IFS(T136&lt;1,"underpaid",T136&gt;1,"overpaid",T136=1,"median pay")</f>
        <v>underpaid</v>
      </c>
      <c r="V136" s="5"/>
    </row>
    <row r="137" spans="1:22" x14ac:dyDescent="0.3">
      <c r="A137" s="22" t="s">
        <v>148</v>
      </c>
      <c r="B137" s="12" t="s">
        <v>1147</v>
      </c>
      <c r="C137" s="12" t="s">
        <v>2015</v>
      </c>
      <c r="D137" s="13">
        <v>45451</v>
      </c>
      <c r="E137" s="14">
        <f t="shared" si="20"/>
        <v>441036</v>
      </c>
      <c r="F137" s="12">
        <v>31884</v>
      </c>
      <c r="G137" s="12">
        <v>4869</v>
      </c>
      <c r="H137" s="15">
        <f t="shared" si="21"/>
        <v>15942</v>
      </c>
      <c r="I137" s="15">
        <f t="shared" si="22"/>
        <v>6376.8</v>
      </c>
      <c r="J137" s="15">
        <f t="shared" si="23"/>
        <v>9565.2000000000007</v>
      </c>
      <c r="K137" s="15">
        <f t="shared" si="24"/>
        <v>1913.04</v>
      </c>
      <c r="L137" s="12">
        <v>200</v>
      </c>
      <c r="M137" s="12">
        <f t="shared" si="25"/>
        <v>208</v>
      </c>
      <c r="N137" s="15">
        <v>2</v>
      </c>
      <c r="O137" s="15">
        <f t="shared" si="26"/>
        <v>76.644230769230774</v>
      </c>
      <c r="P137" s="15">
        <f t="shared" si="27"/>
        <v>153.28846153846155</v>
      </c>
      <c r="Q137" s="15">
        <f t="shared" si="28"/>
        <v>306.57692307692309</v>
      </c>
      <c r="R137" s="12">
        <v>34640</v>
      </c>
      <c r="S137" s="15">
        <f t="shared" si="29"/>
        <v>39509</v>
      </c>
      <c r="T137" s="20">
        <f>S137/median_percentile!$B$1</f>
        <v>0.78393206147008343</v>
      </c>
      <c r="U137" s="24" t="str" cm="1">
        <f t="array" ref="U137">_xlfn.IFS(T137&lt;1,"underpaid",T137&gt;1,"overpaid",T137=1,"median pay")</f>
        <v>underpaid</v>
      </c>
      <c r="V137" s="5"/>
    </row>
    <row r="138" spans="1:22" x14ac:dyDescent="0.3">
      <c r="A138" s="21" t="s">
        <v>149</v>
      </c>
      <c r="B138" s="8" t="s">
        <v>1148</v>
      </c>
      <c r="C138" s="8" t="s">
        <v>2014</v>
      </c>
      <c r="D138" s="9">
        <v>44988</v>
      </c>
      <c r="E138" s="10">
        <f t="shared" si="20"/>
        <v>859608</v>
      </c>
      <c r="F138" s="8">
        <v>60145</v>
      </c>
      <c r="G138" s="8">
        <v>11489</v>
      </c>
      <c r="H138" s="11">
        <f t="shared" si="21"/>
        <v>30072.5</v>
      </c>
      <c r="I138" s="11">
        <f t="shared" si="22"/>
        <v>12029</v>
      </c>
      <c r="J138" s="11">
        <f t="shared" si="23"/>
        <v>18043.5</v>
      </c>
      <c r="K138" s="11">
        <f t="shared" si="24"/>
        <v>3608.7</v>
      </c>
      <c r="L138" s="8">
        <v>200</v>
      </c>
      <c r="M138" s="8">
        <f t="shared" si="25"/>
        <v>208</v>
      </c>
      <c r="N138" s="11">
        <v>5</v>
      </c>
      <c r="O138" s="11">
        <f t="shared" si="26"/>
        <v>144.57932692307693</v>
      </c>
      <c r="P138" s="11">
        <f t="shared" si="27"/>
        <v>289.15865384615387</v>
      </c>
      <c r="Q138" s="11">
        <f t="shared" si="28"/>
        <v>1445.7932692307693</v>
      </c>
      <c r="R138" s="8">
        <v>67826</v>
      </c>
      <c r="S138" s="11">
        <f t="shared" si="29"/>
        <v>79315</v>
      </c>
      <c r="T138" s="20">
        <f>S138/median_percentile!$B$1</f>
        <v>1.5737571554708969</v>
      </c>
      <c r="U138" s="24" t="str" cm="1">
        <f t="array" ref="U138">_xlfn.IFS(T138&lt;1,"underpaid",T138&gt;1,"overpaid",T138=1,"median pay")</f>
        <v>overpaid</v>
      </c>
      <c r="V138" s="5"/>
    </row>
    <row r="139" spans="1:22" x14ac:dyDescent="0.3">
      <c r="A139" s="22" t="s">
        <v>150</v>
      </c>
      <c r="B139" s="12" t="s">
        <v>1149</v>
      </c>
      <c r="C139" s="12" t="s">
        <v>2013</v>
      </c>
      <c r="D139" s="13">
        <v>43785</v>
      </c>
      <c r="E139" s="14">
        <f t="shared" si="20"/>
        <v>607524</v>
      </c>
      <c r="F139" s="12">
        <v>43527</v>
      </c>
      <c r="G139" s="12">
        <v>7100</v>
      </c>
      <c r="H139" s="15">
        <f t="shared" si="21"/>
        <v>21763.5</v>
      </c>
      <c r="I139" s="15">
        <f t="shared" si="22"/>
        <v>8705.4</v>
      </c>
      <c r="J139" s="15">
        <f t="shared" si="23"/>
        <v>13058.099999999999</v>
      </c>
      <c r="K139" s="15">
        <f t="shared" si="24"/>
        <v>2611.62</v>
      </c>
      <c r="L139" s="12">
        <v>200</v>
      </c>
      <c r="M139" s="12">
        <f t="shared" si="25"/>
        <v>208</v>
      </c>
      <c r="N139" s="15">
        <v>2</v>
      </c>
      <c r="O139" s="15">
        <f t="shared" si="26"/>
        <v>104.63221153846153</v>
      </c>
      <c r="P139" s="15">
        <f t="shared" si="27"/>
        <v>209.26442307692307</v>
      </c>
      <c r="Q139" s="15">
        <f t="shared" si="28"/>
        <v>418.52884615384613</v>
      </c>
      <c r="R139" s="12">
        <v>48178</v>
      </c>
      <c r="S139" s="15">
        <f t="shared" si="29"/>
        <v>55278</v>
      </c>
      <c r="T139" s="20">
        <f>S139/median_percentile!$B$1</f>
        <v>1.096818357689217</v>
      </c>
      <c r="U139" s="24" t="str" cm="1">
        <f t="array" ref="U139">_xlfn.IFS(T139&lt;1,"underpaid",T139&gt;1,"overpaid",T139=1,"median pay")</f>
        <v>overpaid</v>
      </c>
      <c r="V139" s="5"/>
    </row>
    <row r="140" spans="1:22" x14ac:dyDescent="0.3">
      <c r="A140" s="21" t="s">
        <v>151</v>
      </c>
      <c r="B140" s="8" t="s">
        <v>1150</v>
      </c>
      <c r="C140" s="8" t="s">
        <v>2011</v>
      </c>
      <c r="D140" s="9">
        <v>43884</v>
      </c>
      <c r="E140" s="10">
        <f t="shared" si="20"/>
        <v>530616</v>
      </c>
      <c r="F140" s="8">
        <v>37719</v>
      </c>
      <c r="G140" s="8">
        <v>6499</v>
      </c>
      <c r="H140" s="11">
        <f t="shared" si="21"/>
        <v>18859.5</v>
      </c>
      <c r="I140" s="11">
        <f t="shared" si="22"/>
        <v>7543.8</v>
      </c>
      <c r="J140" s="11">
        <f t="shared" si="23"/>
        <v>11315.7</v>
      </c>
      <c r="K140" s="11">
        <f t="shared" si="24"/>
        <v>2263.14</v>
      </c>
      <c r="L140" s="8">
        <v>200</v>
      </c>
      <c r="M140" s="8">
        <f t="shared" si="25"/>
        <v>208</v>
      </c>
      <c r="N140" s="11">
        <v>0</v>
      </c>
      <c r="O140" s="11">
        <f t="shared" si="26"/>
        <v>90.67067307692308</v>
      </c>
      <c r="P140" s="11">
        <f t="shared" si="27"/>
        <v>181.34134615384616</v>
      </c>
      <c r="Q140" s="11">
        <f t="shared" si="28"/>
        <v>0</v>
      </c>
      <c r="R140" s="8">
        <v>41755</v>
      </c>
      <c r="S140" s="11">
        <f t="shared" si="29"/>
        <v>48254</v>
      </c>
      <c r="T140" s="20">
        <f>S140/median_percentile!$B$1</f>
        <v>0.9574491304304692</v>
      </c>
      <c r="U140" s="24" t="str" cm="1">
        <f t="array" ref="U140">_xlfn.IFS(T140&lt;1,"underpaid",T140&gt;1,"overpaid",T140=1,"median pay")</f>
        <v>underpaid</v>
      </c>
      <c r="V140" s="5"/>
    </row>
    <row r="141" spans="1:22" x14ac:dyDescent="0.3">
      <c r="A141" s="22" t="s">
        <v>152</v>
      </c>
      <c r="B141" s="12" t="s">
        <v>1151</v>
      </c>
      <c r="C141" s="12" t="s">
        <v>2012</v>
      </c>
      <c r="D141" s="13">
        <v>45093</v>
      </c>
      <c r="E141" s="14">
        <f t="shared" si="20"/>
        <v>451608</v>
      </c>
      <c r="F141" s="12">
        <v>33199</v>
      </c>
      <c r="G141" s="12">
        <v>4435</v>
      </c>
      <c r="H141" s="15">
        <f t="shared" si="21"/>
        <v>16599.5</v>
      </c>
      <c r="I141" s="15">
        <f t="shared" si="22"/>
        <v>6639.8</v>
      </c>
      <c r="J141" s="15">
        <f t="shared" si="23"/>
        <v>9959.7000000000007</v>
      </c>
      <c r="K141" s="15">
        <f t="shared" si="24"/>
        <v>1991.9399999999998</v>
      </c>
      <c r="L141" s="12">
        <v>200</v>
      </c>
      <c r="M141" s="12">
        <f t="shared" si="25"/>
        <v>208</v>
      </c>
      <c r="N141" s="15">
        <v>4</v>
      </c>
      <c r="O141" s="15">
        <f t="shared" si="26"/>
        <v>79.805288461538467</v>
      </c>
      <c r="P141" s="15">
        <f t="shared" si="27"/>
        <v>159.61057692307693</v>
      </c>
      <c r="Q141" s="15">
        <f t="shared" si="28"/>
        <v>638.44230769230774</v>
      </c>
      <c r="R141" s="12">
        <v>35443</v>
      </c>
      <c r="S141" s="15">
        <f t="shared" si="29"/>
        <v>39878</v>
      </c>
      <c r="T141" s="20">
        <f>S141/median_percentile!$B$1</f>
        <v>0.79125370794765715</v>
      </c>
      <c r="U141" s="24" t="str" cm="1">
        <f t="array" ref="U141">_xlfn.IFS(T141&lt;1,"underpaid",T141&gt;1,"overpaid",T141=1,"median pay")</f>
        <v>underpaid</v>
      </c>
      <c r="V141" s="5"/>
    </row>
    <row r="142" spans="1:22" x14ac:dyDescent="0.3">
      <c r="A142" s="21" t="s">
        <v>153</v>
      </c>
      <c r="B142" s="8" t="s">
        <v>1152</v>
      </c>
      <c r="C142" s="8" t="s">
        <v>2012</v>
      </c>
      <c r="D142" s="9">
        <v>43500</v>
      </c>
      <c r="E142" s="10">
        <f t="shared" si="20"/>
        <v>682464</v>
      </c>
      <c r="F142" s="8">
        <v>49912</v>
      </c>
      <c r="G142" s="8">
        <v>6960</v>
      </c>
      <c r="H142" s="11">
        <f t="shared" si="21"/>
        <v>24956</v>
      </c>
      <c r="I142" s="11">
        <f t="shared" si="22"/>
        <v>9982.4000000000015</v>
      </c>
      <c r="J142" s="11">
        <f t="shared" si="23"/>
        <v>14973.599999999999</v>
      </c>
      <c r="K142" s="11">
        <f t="shared" si="24"/>
        <v>2994.72</v>
      </c>
      <c r="L142" s="8">
        <v>200</v>
      </c>
      <c r="M142" s="8">
        <f t="shared" si="25"/>
        <v>208</v>
      </c>
      <c r="N142" s="11">
        <v>1</v>
      </c>
      <c r="O142" s="11">
        <f t="shared" si="26"/>
        <v>119.98076923076923</v>
      </c>
      <c r="P142" s="11">
        <f t="shared" si="27"/>
        <v>239.96153846153845</v>
      </c>
      <c r="Q142" s="11">
        <f t="shared" si="28"/>
        <v>239.96153846153845</v>
      </c>
      <c r="R142" s="8">
        <v>54093</v>
      </c>
      <c r="S142" s="11">
        <f t="shared" si="29"/>
        <v>61053</v>
      </c>
      <c r="T142" s="20">
        <f>S142/median_percentile!$B$1</f>
        <v>1.2114051013423019</v>
      </c>
      <c r="U142" s="24" t="str" cm="1">
        <f t="array" ref="U142">_xlfn.IFS(T142&lt;1,"underpaid",T142&gt;1,"overpaid",T142=1,"median pay")</f>
        <v>overpaid</v>
      </c>
      <c r="V142" s="5"/>
    </row>
    <row r="143" spans="1:22" x14ac:dyDescent="0.3">
      <c r="A143" s="22" t="s">
        <v>154</v>
      </c>
      <c r="B143" s="12" t="s">
        <v>1153</v>
      </c>
      <c r="C143" s="12" t="s">
        <v>2015</v>
      </c>
      <c r="D143" s="13">
        <v>44609</v>
      </c>
      <c r="E143" s="14">
        <f t="shared" si="20"/>
        <v>677052</v>
      </c>
      <c r="F143" s="12">
        <v>47794</v>
      </c>
      <c r="G143" s="12">
        <v>8627</v>
      </c>
      <c r="H143" s="15">
        <f t="shared" si="21"/>
        <v>23897</v>
      </c>
      <c r="I143" s="15">
        <f t="shared" si="22"/>
        <v>9558.8000000000011</v>
      </c>
      <c r="J143" s="15">
        <f t="shared" si="23"/>
        <v>14338.199999999997</v>
      </c>
      <c r="K143" s="15">
        <f t="shared" si="24"/>
        <v>2867.64</v>
      </c>
      <c r="L143" s="12">
        <v>200</v>
      </c>
      <c r="M143" s="12">
        <f t="shared" si="25"/>
        <v>208</v>
      </c>
      <c r="N143" s="15">
        <v>0</v>
      </c>
      <c r="O143" s="15">
        <f t="shared" si="26"/>
        <v>114.88942307692308</v>
      </c>
      <c r="P143" s="15">
        <f t="shared" si="27"/>
        <v>229.77884615384616</v>
      </c>
      <c r="Q143" s="15">
        <f t="shared" si="28"/>
        <v>0</v>
      </c>
      <c r="R143" s="12">
        <v>53354</v>
      </c>
      <c r="S143" s="15">
        <f t="shared" si="29"/>
        <v>61981</v>
      </c>
      <c r="T143" s="20">
        <f>S143/median_percentile!$B$1</f>
        <v>1.2298183477682867</v>
      </c>
      <c r="U143" s="24" t="str" cm="1">
        <f t="array" ref="U143">_xlfn.IFS(T143&lt;1,"underpaid",T143&gt;1,"overpaid",T143=1,"median pay")</f>
        <v>overpaid</v>
      </c>
      <c r="V143" s="5"/>
    </row>
    <row r="144" spans="1:22" x14ac:dyDescent="0.3">
      <c r="A144" s="21" t="s">
        <v>155</v>
      </c>
      <c r="B144" s="8" t="s">
        <v>1154</v>
      </c>
      <c r="C144" s="8" t="s">
        <v>2013</v>
      </c>
      <c r="D144" s="9">
        <v>45055</v>
      </c>
      <c r="E144" s="10">
        <f t="shared" si="20"/>
        <v>450864</v>
      </c>
      <c r="F144" s="8">
        <v>33552</v>
      </c>
      <c r="G144" s="8">
        <v>4020</v>
      </c>
      <c r="H144" s="11">
        <f t="shared" si="21"/>
        <v>16776</v>
      </c>
      <c r="I144" s="11">
        <f t="shared" si="22"/>
        <v>6710.4000000000005</v>
      </c>
      <c r="J144" s="11">
        <f t="shared" si="23"/>
        <v>10065.599999999999</v>
      </c>
      <c r="K144" s="11">
        <f t="shared" si="24"/>
        <v>2013.12</v>
      </c>
      <c r="L144" s="8">
        <v>200</v>
      </c>
      <c r="M144" s="8">
        <f t="shared" si="25"/>
        <v>208</v>
      </c>
      <c r="N144" s="11">
        <v>4</v>
      </c>
      <c r="O144" s="11">
        <f t="shared" si="26"/>
        <v>80.65384615384616</v>
      </c>
      <c r="P144" s="11">
        <f t="shared" si="27"/>
        <v>161.30769230769232</v>
      </c>
      <c r="Q144" s="11">
        <f t="shared" si="28"/>
        <v>645.23076923076928</v>
      </c>
      <c r="R144" s="8">
        <v>35359</v>
      </c>
      <c r="S144" s="11">
        <f t="shared" si="29"/>
        <v>39379</v>
      </c>
      <c r="T144" s="20">
        <f>S144/median_percentile!$B$1</f>
        <v>0.78135261962161573</v>
      </c>
      <c r="U144" s="24" t="str" cm="1">
        <f t="array" ref="U144">_xlfn.IFS(T144&lt;1,"underpaid",T144&gt;1,"overpaid",T144=1,"median pay")</f>
        <v>underpaid</v>
      </c>
      <c r="V144" s="5"/>
    </row>
    <row r="145" spans="1:22" x14ac:dyDescent="0.3">
      <c r="A145" s="22" t="s">
        <v>156</v>
      </c>
      <c r="B145" s="12" t="s">
        <v>1155</v>
      </c>
      <c r="C145" s="12" t="s">
        <v>2012</v>
      </c>
      <c r="D145" s="13">
        <v>45305</v>
      </c>
      <c r="E145" s="14">
        <f t="shared" si="20"/>
        <v>638160</v>
      </c>
      <c r="F145" s="12">
        <v>48335</v>
      </c>
      <c r="G145" s="12">
        <v>4845</v>
      </c>
      <c r="H145" s="15">
        <f t="shared" si="21"/>
        <v>24167.5</v>
      </c>
      <c r="I145" s="15">
        <f t="shared" si="22"/>
        <v>9667</v>
      </c>
      <c r="J145" s="15">
        <f t="shared" si="23"/>
        <v>14500.5</v>
      </c>
      <c r="K145" s="15">
        <f t="shared" si="24"/>
        <v>2900.1</v>
      </c>
      <c r="L145" s="12">
        <v>200</v>
      </c>
      <c r="M145" s="12">
        <f t="shared" si="25"/>
        <v>208</v>
      </c>
      <c r="N145" s="15">
        <v>3</v>
      </c>
      <c r="O145" s="15">
        <f t="shared" si="26"/>
        <v>116.18990384615384</v>
      </c>
      <c r="P145" s="15">
        <f t="shared" si="27"/>
        <v>232.37980769230768</v>
      </c>
      <c r="Q145" s="15">
        <f t="shared" si="28"/>
        <v>697.13942307692309</v>
      </c>
      <c r="R145" s="12">
        <v>50885</v>
      </c>
      <c r="S145" s="15">
        <f t="shared" si="29"/>
        <v>55730</v>
      </c>
      <c r="T145" s="20">
        <f>S145/median_percentile!$B$1</f>
        <v>1.1057868785777354</v>
      </c>
      <c r="U145" s="24" t="str" cm="1">
        <f t="array" ref="U145">_xlfn.IFS(T145&lt;1,"underpaid",T145&gt;1,"overpaid",T145=1,"median pay")</f>
        <v>overpaid</v>
      </c>
      <c r="V145" s="5"/>
    </row>
    <row r="146" spans="1:22" x14ac:dyDescent="0.3">
      <c r="A146" s="21" t="s">
        <v>157</v>
      </c>
      <c r="B146" s="8" t="s">
        <v>1156</v>
      </c>
      <c r="C146" s="8" t="s">
        <v>2012</v>
      </c>
      <c r="D146" s="9">
        <v>45736</v>
      </c>
      <c r="E146" s="10">
        <f t="shared" si="20"/>
        <v>473592</v>
      </c>
      <c r="F146" s="8">
        <v>34233</v>
      </c>
      <c r="G146" s="8">
        <v>5233</v>
      </c>
      <c r="H146" s="11">
        <f t="shared" si="21"/>
        <v>17116.5</v>
      </c>
      <c r="I146" s="11">
        <f t="shared" si="22"/>
        <v>6846.6</v>
      </c>
      <c r="J146" s="11">
        <f t="shared" si="23"/>
        <v>10269.900000000001</v>
      </c>
      <c r="K146" s="11">
        <f t="shared" si="24"/>
        <v>2053.98</v>
      </c>
      <c r="L146" s="8">
        <v>200</v>
      </c>
      <c r="M146" s="8">
        <f t="shared" si="25"/>
        <v>208</v>
      </c>
      <c r="N146" s="11">
        <v>1</v>
      </c>
      <c r="O146" s="11">
        <f t="shared" si="26"/>
        <v>82.290865384615387</v>
      </c>
      <c r="P146" s="11">
        <f t="shared" si="27"/>
        <v>164.58173076923077</v>
      </c>
      <c r="Q146" s="11">
        <f t="shared" si="28"/>
        <v>164.58173076923077</v>
      </c>
      <c r="R146" s="8">
        <v>37783</v>
      </c>
      <c r="S146" s="11">
        <f t="shared" si="29"/>
        <v>43016</v>
      </c>
      <c r="T146" s="20">
        <f>S146/median_percentile!$B$1</f>
        <v>0.85351746579759313</v>
      </c>
      <c r="U146" s="24" t="str" cm="1">
        <f t="array" ref="U146">_xlfn.IFS(T146&lt;1,"underpaid",T146&gt;1,"overpaid",T146=1,"median pay")</f>
        <v>underpaid</v>
      </c>
      <c r="V146" s="5"/>
    </row>
    <row r="147" spans="1:22" x14ac:dyDescent="0.3">
      <c r="A147" s="22" t="s">
        <v>158</v>
      </c>
      <c r="B147" s="12" t="s">
        <v>1157</v>
      </c>
      <c r="C147" s="12" t="s">
        <v>2014</v>
      </c>
      <c r="D147" s="13">
        <v>45835</v>
      </c>
      <c r="E147" s="14">
        <f t="shared" si="20"/>
        <v>741912</v>
      </c>
      <c r="F147" s="12">
        <v>56081</v>
      </c>
      <c r="G147" s="12">
        <v>5745</v>
      </c>
      <c r="H147" s="15">
        <f t="shared" si="21"/>
        <v>28040.5</v>
      </c>
      <c r="I147" s="15">
        <f t="shared" si="22"/>
        <v>11216.2</v>
      </c>
      <c r="J147" s="15">
        <f t="shared" si="23"/>
        <v>16824.300000000003</v>
      </c>
      <c r="K147" s="15">
        <f t="shared" si="24"/>
        <v>3364.8599999999997</v>
      </c>
      <c r="L147" s="12">
        <v>200</v>
      </c>
      <c r="M147" s="12">
        <f t="shared" si="25"/>
        <v>208</v>
      </c>
      <c r="N147" s="15">
        <v>1</v>
      </c>
      <c r="O147" s="15">
        <f t="shared" si="26"/>
        <v>134.81009615384616</v>
      </c>
      <c r="P147" s="15">
        <f t="shared" si="27"/>
        <v>269.62019230769232</v>
      </c>
      <c r="Q147" s="15">
        <f t="shared" si="28"/>
        <v>269.62019230769232</v>
      </c>
      <c r="R147" s="12">
        <v>58262</v>
      </c>
      <c r="S147" s="15">
        <f t="shared" si="29"/>
        <v>64007</v>
      </c>
      <c r="T147" s="20">
        <f>S147/median_percentile!$B$1</f>
        <v>1.2700179568836374</v>
      </c>
      <c r="U147" s="24" t="str" cm="1">
        <f t="array" ref="U147">_xlfn.IFS(T147&lt;1,"underpaid",T147&gt;1,"overpaid",T147=1,"median pay")</f>
        <v>overpaid</v>
      </c>
      <c r="V147" s="5"/>
    </row>
    <row r="148" spans="1:22" x14ac:dyDescent="0.3">
      <c r="A148" s="21" t="s">
        <v>159</v>
      </c>
      <c r="B148" s="8" t="s">
        <v>1158</v>
      </c>
      <c r="C148" s="8" t="s">
        <v>2014</v>
      </c>
      <c r="D148" s="9">
        <v>44689</v>
      </c>
      <c r="E148" s="10">
        <f t="shared" si="20"/>
        <v>611760</v>
      </c>
      <c r="F148" s="8">
        <v>44774</v>
      </c>
      <c r="G148" s="8">
        <v>6206</v>
      </c>
      <c r="H148" s="11">
        <f t="shared" si="21"/>
        <v>22387</v>
      </c>
      <c r="I148" s="11">
        <f t="shared" si="22"/>
        <v>8954.8000000000011</v>
      </c>
      <c r="J148" s="11">
        <f t="shared" si="23"/>
        <v>13432.199999999997</v>
      </c>
      <c r="K148" s="11">
        <f t="shared" si="24"/>
        <v>2686.44</v>
      </c>
      <c r="L148" s="8">
        <v>200</v>
      </c>
      <c r="M148" s="8">
        <f t="shared" si="25"/>
        <v>208</v>
      </c>
      <c r="N148" s="11">
        <v>5</v>
      </c>
      <c r="O148" s="11">
        <f t="shared" si="26"/>
        <v>107.62980769230769</v>
      </c>
      <c r="P148" s="11">
        <f t="shared" si="27"/>
        <v>215.25961538461539</v>
      </c>
      <c r="Q148" s="11">
        <f t="shared" si="28"/>
        <v>1076.2980769230769</v>
      </c>
      <c r="R148" s="8">
        <v>48094</v>
      </c>
      <c r="S148" s="11">
        <f t="shared" si="29"/>
        <v>54300</v>
      </c>
      <c r="T148" s="20">
        <f>S148/median_percentile!$B$1</f>
        <v>1.0774130182445907</v>
      </c>
      <c r="U148" s="24" t="str" cm="1">
        <f t="array" ref="U148">_xlfn.IFS(T148&lt;1,"underpaid",T148&gt;1,"overpaid",T148=1,"median pay")</f>
        <v>overpaid</v>
      </c>
      <c r="V148" s="5"/>
    </row>
    <row r="149" spans="1:22" x14ac:dyDescent="0.3">
      <c r="A149" s="22" t="s">
        <v>160</v>
      </c>
      <c r="B149" s="12" t="s">
        <v>1159</v>
      </c>
      <c r="C149" s="12" t="s">
        <v>2014</v>
      </c>
      <c r="D149" s="13">
        <v>44718</v>
      </c>
      <c r="E149" s="14">
        <f t="shared" si="20"/>
        <v>821988</v>
      </c>
      <c r="F149" s="12">
        <v>58208</v>
      </c>
      <c r="G149" s="12">
        <v>10291</v>
      </c>
      <c r="H149" s="15">
        <f t="shared" si="21"/>
        <v>29104</v>
      </c>
      <c r="I149" s="15">
        <f t="shared" si="22"/>
        <v>11641.6</v>
      </c>
      <c r="J149" s="15">
        <f t="shared" si="23"/>
        <v>17462.400000000001</v>
      </c>
      <c r="K149" s="15">
        <f t="shared" si="24"/>
        <v>3492.48</v>
      </c>
      <c r="L149" s="12">
        <v>200</v>
      </c>
      <c r="M149" s="12">
        <f t="shared" si="25"/>
        <v>208</v>
      </c>
      <c r="N149" s="15">
        <v>3</v>
      </c>
      <c r="O149" s="15">
        <f t="shared" si="26"/>
        <v>139.92307692307693</v>
      </c>
      <c r="P149" s="15">
        <f t="shared" si="27"/>
        <v>279.84615384615387</v>
      </c>
      <c r="Q149" s="15">
        <f t="shared" si="28"/>
        <v>839.53846153846166</v>
      </c>
      <c r="R149" s="12">
        <v>65777</v>
      </c>
      <c r="S149" s="15">
        <f t="shared" si="29"/>
        <v>76068</v>
      </c>
      <c r="T149" s="20">
        <f>S149/median_percentile!$B$1</f>
        <v>1.5093306348403226</v>
      </c>
      <c r="U149" s="24" t="str" cm="1">
        <f t="array" ref="U149">_xlfn.IFS(T149&lt;1,"underpaid",T149&gt;1,"overpaid",T149=1,"median pay")</f>
        <v>overpaid</v>
      </c>
      <c r="V149" s="5"/>
    </row>
    <row r="150" spans="1:22" x14ac:dyDescent="0.3">
      <c r="A150" s="21" t="s">
        <v>161</v>
      </c>
      <c r="B150" s="8" t="s">
        <v>1160</v>
      </c>
      <c r="C150" s="8" t="s">
        <v>2016</v>
      </c>
      <c r="D150" s="9">
        <v>44008</v>
      </c>
      <c r="E150" s="10">
        <f t="shared" si="20"/>
        <v>438648</v>
      </c>
      <c r="F150" s="8">
        <v>32368</v>
      </c>
      <c r="G150" s="8">
        <v>4186</v>
      </c>
      <c r="H150" s="11">
        <f t="shared" si="21"/>
        <v>16184</v>
      </c>
      <c r="I150" s="11">
        <f t="shared" si="22"/>
        <v>6473.6</v>
      </c>
      <c r="J150" s="11">
        <f t="shared" si="23"/>
        <v>9710.4000000000015</v>
      </c>
      <c r="K150" s="11">
        <f t="shared" si="24"/>
        <v>1942.08</v>
      </c>
      <c r="L150" s="8">
        <v>200</v>
      </c>
      <c r="M150" s="8">
        <f t="shared" si="25"/>
        <v>208</v>
      </c>
      <c r="N150" s="11">
        <v>2</v>
      </c>
      <c r="O150" s="11">
        <f t="shared" si="26"/>
        <v>77.807692307692307</v>
      </c>
      <c r="P150" s="11">
        <f t="shared" si="27"/>
        <v>155.61538461538461</v>
      </c>
      <c r="Q150" s="11">
        <f t="shared" si="28"/>
        <v>311.23076923076923</v>
      </c>
      <c r="R150" s="8">
        <v>34412</v>
      </c>
      <c r="S150" s="11">
        <f t="shared" si="29"/>
        <v>38598</v>
      </c>
      <c r="T150" s="20">
        <f>S150/median_percentile!$B$1</f>
        <v>0.76585612667043657</v>
      </c>
      <c r="U150" s="24" t="str" cm="1">
        <f t="array" ref="U150">_xlfn.IFS(T150&lt;1,"underpaid",T150&gt;1,"overpaid",T150=1,"median pay")</f>
        <v>underpaid</v>
      </c>
      <c r="V150" s="5"/>
    </row>
    <row r="151" spans="1:22" x14ac:dyDescent="0.3">
      <c r="A151" s="22" t="s">
        <v>162</v>
      </c>
      <c r="B151" s="12" t="s">
        <v>1161</v>
      </c>
      <c r="C151" s="12" t="s">
        <v>2013</v>
      </c>
      <c r="D151" s="13">
        <v>44196</v>
      </c>
      <c r="E151" s="14">
        <f t="shared" si="20"/>
        <v>449904</v>
      </c>
      <c r="F151" s="12">
        <v>32380</v>
      </c>
      <c r="G151" s="12">
        <v>5112</v>
      </c>
      <c r="H151" s="15">
        <f t="shared" si="21"/>
        <v>16190</v>
      </c>
      <c r="I151" s="15">
        <f t="shared" si="22"/>
        <v>6476</v>
      </c>
      <c r="J151" s="15">
        <f t="shared" si="23"/>
        <v>9714</v>
      </c>
      <c r="K151" s="15">
        <f t="shared" si="24"/>
        <v>1942.8</v>
      </c>
      <c r="L151" s="12">
        <v>200</v>
      </c>
      <c r="M151" s="12">
        <f t="shared" si="25"/>
        <v>208</v>
      </c>
      <c r="N151" s="15">
        <v>3</v>
      </c>
      <c r="O151" s="15">
        <f t="shared" si="26"/>
        <v>77.836538461538467</v>
      </c>
      <c r="P151" s="15">
        <f t="shared" si="27"/>
        <v>155.67307692307693</v>
      </c>
      <c r="Q151" s="15">
        <f t="shared" si="28"/>
        <v>467.01923076923083</v>
      </c>
      <c r="R151" s="12">
        <v>35889</v>
      </c>
      <c r="S151" s="15">
        <f t="shared" si="29"/>
        <v>41001</v>
      </c>
      <c r="T151" s="20">
        <f>S151/median_percentile!$B$1</f>
        <v>0.81353611714634366</v>
      </c>
      <c r="U151" s="24" t="str" cm="1">
        <f t="array" ref="U151">_xlfn.IFS(T151&lt;1,"underpaid",T151&gt;1,"overpaid",T151=1,"median pay")</f>
        <v>underpaid</v>
      </c>
      <c r="V151" s="5"/>
    </row>
    <row r="152" spans="1:22" x14ac:dyDescent="0.3">
      <c r="A152" s="21" t="s">
        <v>163</v>
      </c>
      <c r="B152" s="8" t="s">
        <v>1162</v>
      </c>
      <c r="C152" s="8" t="s">
        <v>2012</v>
      </c>
      <c r="D152" s="9">
        <v>44682</v>
      </c>
      <c r="E152" s="10">
        <f t="shared" si="20"/>
        <v>617160</v>
      </c>
      <c r="F152" s="8">
        <v>46550</v>
      </c>
      <c r="G152" s="8">
        <v>4880</v>
      </c>
      <c r="H152" s="11">
        <f t="shared" si="21"/>
        <v>23275</v>
      </c>
      <c r="I152" s="11">
        <f t="shared" si="22"/>
        <v>9310</v>
      </c>
      <c r="J152" s="11">
        <f t="shared" si="23"/>
        <v>13965</v>
      </c>
      <c r="K152" s="11">
        <f t="shared" si="24"/>
        <v>2793</v>
      </c>
      <c r="L152" s="8">
        <v>200</v>
      </c>
      <c r="M152" s="8">
        <f t="shared" si="25"/>
        <v>208</v>
      </c>
      <c r="N152" s="11">
        <v>0</v>
      </c>
      <c r="O152" s="11">
        <f t="shared" si="26"/>
        <v>111.89903846153847</v>
      </c>
      <c r="P152" s="11">
        <f t="shared" si="27"/>
        <v>223.79807692307693</v>
      </c>
      <c r="Q152" s="11">
        <f t="shared" si="28"/>
        <v>0</v>
      </c>
      <c r="R152" s="8">
        <v>48437</v>
      </c>
      <c r="S152" s="11">
        <f t="shared" si="29"/>
        <v>53317</v>
      </c>
      <c r="T152" s="20">
        <f>S152/median_percentile!$B$1</f>
        <v>1.0579084694981002</v>
      </c>
      <c r="U152" s="24" t="str" cm="1">
        <f t="array" ref="U152">_xlfn.IFS(T152&lt;1,"underpaid",T152&gt;1,"overpaid",T152=1,"median pay")</f>
        <v>overpaid</v>
      </c>
      <c r="V152" s="5"/>
    </row>
    <row r="153" spans="1:22" x14ac:dyDescent="0.3">
      <c r="A153" s="22" t="s">
        <v>164</v>
      </c>
      <c r="B153" s="12" t="s">
        <v>1163</v>
      </c>
      <c r="C153" s="12" t="s">
        <v>2013</v>
      </c>
      <c r="D153" s="13">
        <v>45317</v>
      </c>
      <c r="E153" s="14">
        <f t="shared" si="20"/>
        <v>897624</v>
      </c>
      <c r="F153" s="12">
        <v>63675</v>
      </c>
      <c r="G153" s="12">
        <v>11127</v>
      </c>
      <c r="H153" s="15">
        <f t="shared" si="21"/>
        <v>31837.5</v>
      </c>
      <c r="I153" s="15">
        <f t="shared" si="22"/>
        <v>12735</v>
      </c>
      <c r="J153" s="15">
        <f t="shared" si="23"/>
        <v>19102.5</v>
      </c>
      <c r="K153" s="15">
        <f t="shared" si="24"/>
        <v>3820.5</v>
      </c>
      <c r="L153" s="12">
        <v>200</v>
      </c>
      <c r="M153" s="12">
        <f t="shared" si="25"/>
        <v>208</v>
      </c>
      <c r="N153" s="15">
        <v>3</v>
      </c>
      <c r="O153" s="15">
        <f t="shared" si="26"/>
        <v>153.06490384615384</v>
      </c>
      <c r="P153" s="15">
        <f t="shared" si="27"/>
        <v>306.12980769230768</v>
      </c>
      <c r="Q153" s="15">
        <f t="shared" si="28"/>
        <v>918.38942307692309</v>
      </c>
      <c r="R153" s="12">
        <v>70782</v>
      </c>
      <c r="S153" s="15">
        <f t="shared" si="29"/>
        <v>81909</v>
      </c>
      <c r="T153" s="20">
        <f>S153/median_percentile!$B$1</f>
        <v>1.6252269412780143</v>
      </c>
      <c r="U153" s="24" t="str" cm="1">
        <f t="array" ref="U153">_xlfn.IFS(T153&lt;1,"underpaid",T153&gt;1,"overpaid",T153=1,"median pay")</f>
        <v>overpaid</v>
      </c>
      <c r="V153" s="5"/>
    </row>
    <row r="154" spans="1:22" x14ac:dyDescent="0.3">
      <c r="A154" s="21" t="s">
        <v>165</v>
      </c>
      <c r="B154" s="8" t="s">
        <v>1164</v>
      </c>
      <c r="C154" s="8" t="s">
        <v>2012</v>
      </c>
      <c r="D154" s="9">
        <v>43492</v>
      </c>
      <c r="E154" s="10">
        <f t="shared" si="20"/>
        <v>362232</v>
      </c>
      <c r="F154" s="8">
        <v>26368</v>
      </c>
      <c r="G154" s="8">
        <v>3818</v>
      </c>
      <c r="H154" s="11">
        <f t="shared" si="21"/>
        <v>13184</v>
      </c>
      <c r="I154" s="11">
        <f t="shared" si="22"/>
        <v>5273.6</v>
      </c>
      <c r="J154" s="11">
        <f t="shared" si="23"/>
        <v>7910.4000000000015</v>
      </c>
      <c r="K154" s="11">
        <f t="shared" si="24"/>
        <v>1582.08</v>
      </c>
      <c r="L154" s="8">
        <v>200</v>
      </c>
      <c r="M154" s="8">
        <f t="shared" si="25"/>
        <v>208</v>
      </c>
      <c r="N154" s="11">
        <v>1</v>
      </c>
      <c r="O154" s="11">
        <f t="shared" si="26"/>
        <v>63.384615384615387</v>
      </c>
      <c r="P154" s="11">
        <f t="shared" si="27"/>
        <v>126.76923076923077</v>
      </c>
      <c r="Q154" s="11">
        <f t="shared" si="28"/>
        <v>126.76923076923077</v>
      </c>
      <c r="R154" s="8">
        <v>28404</v>
      </c>
      <c r="S154" s="11">
        <f t="shared" si="29"/>
        <v>32222</v>
      </c>
      <c r="T154" s="20">
        <f>S154/median_percentile!$B$1</f>
        <v>0.6393444249332817</v>
      </c>
      <c r="U154" s="24" t="str" cm="1">
        <f t="array" ref="U154">_xlfn.IFS(T154&lt;1,"underpaid",T154&gt;1,"overpaid",T154=1,"median pay")</f>
        <v>underpaid</v>
      </c>
      <c r="V154" s="5"/>
    </row>
    <row r="155" spans="1:22" x14ac:dyDescent="0.3">
      <c r="A155" s="22" t="s">
        <v>166</v>
      </c>
      <c r="B155" s="12" t="s">
        <v>1165</v>
      </c>
      <c r="C155" s="12" t="s">
        <v>2011</v>
      </c>
      <c r="D155" s="13">
        <v>43567</v>
      </c>
      <c r="E155" s="14">
        <f t="shared" si="20"/>
        <v>554568</v>
      </c>
      <c r="F155" s="12">
        <v>40303</v>
      </c>
      <c r="G155" s="12">
        <v>5911</v>
      </c>
      <c r="H155" s="15">
        <f t="shared" si="21"/>
        <v>20151.5</v>
      </c>
      <c r="I155" s="15">
        <f t="shared" si="22"/>
        <v>8060.6</v>
      </c>
      <c r="J155" s="15">
        <f t="shared" si="23"/>
        <v>12090.900000000001</v>
      </c>
      <c r="K155" s="15">
        <f t="shared" si="24"/>
        <v>2418.1799999999998</v>
      </c>
      <c r="L155" s="12">
        <v>200</v>
      </c>
      <c r="M155" s="12">
        <f t="shared" si="25"/>
        <v>208</v>
      </c>
      <c r="N155" s="15">
        <v>3</v>
      </c>
      <c r="O155" s="15">
        <f t="shared" si="26"/>
        <v>96.882211538461533</v>
      </c>
      <c r="P155" s="15">
        <f t="shared" si="27"/>
        <v>193.76442307692307</v>
      </c>
      <c r="Q155" s="15">
        <f t="shared" si="28"/>
        <v>581.29326923076917</v>
      </c>
      <c r="R155" s="12">
        <v>43596</v>
      </c>
      <c r="S155" s="15">
        <f t="shared" si="29"/>
        <v>49507</v>
      </c>
      <c r="T155" s="20">
        <f>S155/median_percentile!$B$1</f>
        <v>0.9823109814776233</v>
      </c>
      <c r="U155" s="24" t="str" cm="1">
        <f t="array" ref="U155">_xlfn.IFS(T155&lt;1,"underpaid",T155&gt;1,"overpaid",T155=1,"median pay")</f>
        <v>underpaid</v>
      </c>
      <c r="V155" s="5"/>
    </row>
    <row r="156" spans="1:22" x14ac:dyDescent="0.3">
      <c r="A156" s="21" t="s">
        <v>167</v>
      </c>
      <c r="B156" s="8" t="s">
        <v>1166</v>
      </c>
      <c r="C156" s="8" t="s">
        <v>2016</v>
      </c>
      <c r="D156" s="9">
        <v>45810</v>
      </c>
      <c r="E156" s="10">
        <f t="shared" si="20"/>
        <v>491244</v>
      </c>
      <c r="F156" s="8">
        <v>36358</v>
      </c>
      <c r="G156" s="8">
        <v>4579</v>
      </c>
      <c r="H156" s="11">
        <f t="shared" si="21"/>
        <v>18179</v>
      </c>
      <c r="I156" s="11">
        <f t="shared" si="22"/>
        <v>7271.6</v>
      </c>
      <c r="J156" s="11">
        <f t="shared" si="23"/>
        <v>10907.400000000001</v>
      </c>
      <c r="K156" s="11">
        <f t="shared" si="24"/>
        <v>2181.48</v>
      </c>
      <c r="L156" s="8">
        <v>200</v>
      </c>
      <c r="M156" s="8">
        <f t="shared" si="25"/>
        <v>208</v>
      </c>
      <c r="N156" s="11">
        <v>1</v>
      </c>
      <c r="O156" s="11">
        <f t="shared" si="26"/>
        <v>87.399038461538467</v>
      </c>
      <c r="P156" s="11">
        <f t="shared" si="27"/>
        <v>174.79807692307693</v>
      </c>
      <c r="Q156" s="11">
        <f t="shared" si="28"/>
        <v>174.79807692307693</v>
      </c>
      <c r="R156" s="8">
        <v>39161</v>
      </c>
      <c r="S156" s="11">
        <f t="shared" si="29"/>
        <v>43740</v>
      </c>
      <c r="T156" s="20">
        <f>S156/median_percentile!$B$1</f>
        <v>0.86788297270752102</v>
      </c>
      <c r="U156" s="24" t="str" cm="1">
        <f t="array" ref="U156">_xlfn.IFS(T156&lt;1,"underpaid",T156&gt;1,"overpaid",T156=1,"median pay")</f>
        <v>underpaid</v>
      </c>
      <c r="V156" s="5"/>
    </row>
    <row r="157" spans="1:22" x14ac:dyDescent="0.3">
      <c r="A157" s="22" t="s">
        <v>168</v>
      </c>
      <c r="B157" s="12" t="s">
        <v>1167</v>
      </c>
      <c r="C157" s="12" t="s">
        <v>2014</v>
      </c>
      <c r="D157" s="13">
        <v>45492</v>
      </c>
      <c r="E157" s="14">
        <f t="shared" si="20"/>
        <v>699552</v>
      </c>
      <c r="F157" s="12">
        <v>52675</v>
      </c>
      <c r="G157" s="12">
        <v>5621</v>
      </c>
      <c r="H157" s="15">
        <f t="shared" si="21"/>
        <v>26337.5</v>
      </c>
      <c r="I157" s="15">
        <f t="shared" si="22"/>
        <v>10535</v>
      </c>
      <c r="J157" s="15">
        <f t="shared" si="23"/>
        <v>15802.5</v>
      </c>
      <c r="K157" s="15">
        <f t="shared" si="24"/>
        <v>3160.5</v>
      </c>
      <c r="L157" s="12">
        <v>200</v>
      </c>
      <c r="M157" s="12">
        <f t="shared" si="25"/>
        <v>208</v>
      </c>
      <c r="N157" s="15">
        <v>3</v>
      </c>
      <c r="O157" s="15">
        <f t="shared" si="26"/>
        <v>126.62259615384616</v>
      </c>
      <c r="P157" s="15">
        <f t="shared" si="27"/>
        <v>253.24519230769232</v>
      </c>
      <c r="Q157" s="15">
        <f t="shared" si="28"/>
        <v>759.73557692307691</v>
      </c>
      <c r="R157" s="12">
        <v>55374</v>
      </c>
      <c r="S157" s="15">
        <f t="shared" si="29"/>
        <v>60995</v>
      </c>
      <c r="T157" s="20">
        <f>S157/median_percentile!$B$1</f>
        <v>1.2102542734406778</v>
      </c>
      <c r="U157" s="24" t="str" cm="1">
        <f t="array" ref="U157">_xlfn.IFS(T157&lt;1,"underpaid",T157&gt;1,"overpaid",T157=1,"median pay")</f>
        <v>overpaid</v>
      </c>
      <c r="V157" s="5"/>
    </row>
    <row r="158" spans="1:22" x14ac:dyDescent="0.3">
      <c r="A158" s="21" t="s">
        <v>169</v>
      </c>
      <c r="B158" s="8" t="s">
        <v>1168</v>
      </c>
      <c r="C158" s="8" t="s">
        <v>2013</v>
      </c>
      <c r="D158" s="9">
        <v>45844</v>
      </c>
      <c r="E158" s="10">
        <f t="shared" si="20"/>
        <v>439380</v>
      </c>
      <c r="F158" s="8">
        <v>32429</v>
      </c>
      <c r="G158" s="8">
        <v>4186</v>
      </c>
      <c r="H158" s="11">
        <f t="shared" si="21"/>
        <v>16214.5</v>
      </c>
      <c r="I158" s="11">
        <f t="shared" si="22"/>
        <v>6485.8</v>
      </c>
      <c r="J158" s="11">
        <f t="shared" si="23"/>
        <v>9728.7000000000007</v>
      </c>
      <c r="K158" s="11">
        <f t="shared" si="24"/>
        <v>1945.74</v>
      </c>
      <c r="L158" s="8">
        <v>200</v>
      </c>
      <c r="M158" s="8">
        <f t="shared" si="25"/>
        <v>208</v>
      </c>
      <c r="N158" s="11">
        <v>0</v>
      </c>
      <c r="O158" s="11">
        <f t="shared" si="26"/>
        <v>77.95432692307692</v>
      </c>
      <c r="P158" s="11">
        <f t="shared" si="27"/>
        <v>155.90865384615384</v>
      </c>
      <c r="Q158" s="11">
        <f t="shared" si="28"/>
        <v>0</v>
      </c>
      <c r="R158" s="8">
        <v>34740</v>
      </c>
      <c r="S158" s="11">
        <f t="shared" si="29"/>
        <v>38926</v>
      </c>
      <c r="T158" s="20">
        <f>S158/median_percentile!$B$1</f>
        <v>0.77236425687272436</v>
      </c>
      <c r="U158" s="24" t="str" cm="1">
        <f t="array" ref="U158">_xlfn.IFS(T158&lt;1,"underpaid",T158&gt;1,"overpaid",T158=1,"median pay")</f>
        <v>underpaid</v>
      </c>
      <c r="V158" s="5"/>
    </row>
    <row r="159" spans="1:22" x14ac:dyDescent="0.3">
      <c r="A159" s="22" t="s">
        <v>170</v>
      </c>
      <c r="B159" s="12" t="s">
        <v>1169</v>
      </c>
      <c r="C159" s="12" t="s">
        <v>2011</v>
      </c>
      <c r="D159" s="13">
        <v>43950</v>
      </c>
      <c r="E159" s="14">
        <f t="shared" si="20"/>
        <v>606936</v>
      </c>
      <c r="F159" s="12">
        <v>43938</v>
      </c>
      <c r="G159" s="12">
        <v>6640</v>
      </c>
      <c r="H159" s="15">
        <f t="shared" si="21"/>
        <v>21969</v>
      </c>
      <c r="I159" s="15">
        <f t="shared" si="22"/>
        <v>8787.6</v>
      </c>
      <c r="J159" s="15">
        <f t="shared" si="23"/>
        <v>13181.400000000001</v>
      </c>
      <c r="K159" s="15">
        <f t="shared" si="24"/>
        <v>2636.2799999999997</v>
      </c>
      <c r="L159" s="12">
        <v>200</v>
      </c>
      <c r="M159" s="12">
        <f t="shared" si="25"/>
        <v>208</v>
      </c>
      <c r="N159" s="15">
        <v>1</v>
      </c>
      <c r="O159" s="15">
        <f t="shared" si="26"/>
        <v>105.62019230769231</v>
      </c>
      <c r="P159" s="15">
        <f t="shared" si="27"/>
        <v>211.24038461538461</v>
      </c>
      <c r="Q159" s="15">
        <f t="shared" si="28"/>
        <v>211.24038461538461</v>
      </c>
      <c r="R159" s="12">
        <v>47742</v>
      </c>
      <c r="S159" s="15">
        <f t="shared" si="29"/>
        <v>54382</v>
      </c>
      <c r="T159" s="20">
        <f>S159/median_percentile!$B$1</f>
        <v>1.0790400507951625</v>
      </c>
      <c r="U159" s="24" t="str" cm="1">
        <f t="array" ref="U159">_xlfn.IFS(T159&lt;1,"underpaid",T159&gt;1,"overpaid",T159=1,"median pay")</f>
        <v>overpaid</v>
      </c>
      <c r="V159" s="5"/>
    </row>
    <row r="160" spans="1:22" x14ac:dyDescent="0.3">
      <c r="A160" s="21" t="s">
        <v>171</v>
      </c>
      <c r="B160" s="8" t="s">
        <v>1170</v>
      </c>
      <c r="C160" s="8" t="s">
        <v>2011</v>
      </c>
      <c r="D160" s="9">
        <v>45001</v>
      </c>
      <c r="E160" s="10">
        <f t="shared" si="20"/>
        <v>354948</v>
      </c>
      <c r="F160" s="8">
        <v>26640</v>
      </c>
      <c r="G160" s="8">
        <v>2939</v>
      </c>
      <c r="H160" s="11">
        <f t="shared" si="21"/>
        <v>13320</v>
      </c>
      <c r="I160" s="11">
        <f t="shared" si="22"/>
        <v>5328</v>
      </c>
      <c r="J160" s="11">
        <f t="shared" si="23"/>
        <v>7992</v>
      </c>
      <c r="K160" s="11">
        <f t="shared" si="24"/>
        <v>1598.3999999999999</v>
      </c>
      <c r="L160" s="8">
        <v>200</v>
      </c>
      <c r="M160" s="8">
        <f t="shared" si="25"/>
        <v>208</v>
      </c>
      <c r="N160" s="11">
        <v>2</v>
      </c>
      <c r="O160" s="11">
        <f t="shared" si="26"/>
        <v>64.038461538461533</v>
      </c>
      <c r="P160" s="11">
        <f t="shared" si="27"/>
        <v>128.07692307692307</v>
      </c>
      <c r="Q160" s="11">
        <f t="shared" si="28"/>
        <v>256.15384615384613</v>
      </c>
      <c r="R160" s="8">
        <v>27781</v>
      </c>
      <c r="S160" s="11">
        <f t="shared" si="29"/>
        <v>30720</v>
      </c>
      <c r="T160" s="20">
        <f>S160/median_percentile!$B$1</f>
        <v>0.60954195065329331</v>
      </c>
      <c r="U160" s="24" t="str" cm="1">
        <f t="array" ref="U160">_xlfn.IFS(T160&lt;1,"underpaid",T160&gt;1,"overpaid",T160=1,"median pay")</f>
        <v>underpaid</v>
      </c>
      <c r="V160" s="5"/>
    </row>
    <row r="161" spans="1:22" x14ac:dyDescent="0.3">
      <c r="A161" s="22" t="s">
        <v>172</v>
      </c>
      <c r="B161" s="12" t="s">
        <v>1171</v>
      </c>
      <c r="C161" s="12" t="s">
        <v>2016</v>
      </c>
      <c r="D161" s="13">
        <v>43890</v>
      </c>
      <c r="E161" s="14">
        <f t="shared" si="20"/>
        <v>710520</v>
      </c>
      <c r="F161" s="12">
        <v>49889</v>
      </c>
      <c r="G161" s="12">
        <v>9321</v>
      </c>
      <c r="H161" s="15">
        <f t="shared" si="21"/>
        <v>24944.5</v>
      </c>
      <c r="I161" s="15">
        <f t="shared" si="22"/>
        <v>9977.8000000000011</v>
      </c>
      <c r="J161" s="15">
        <f t="shared" si="23"/>
        <v>14966.699999999997</v>
      </c>
      <c r="K161" s="15">
        <f t="shared" si="24"/>
        <v>2993.3399999999997</v>
      </c>
      <c r="L161" s="12">
        <v>200</v>
      </c>
      <c r="M161" s="12">
        <f t="shared" si="25"/>
        <v>208</v>
      </c>
      <c r="N161" s="15">
        <v>5</v>
      </c>
      <c r="O161" s="15">
        <f t="shared" si="26"/>
        <v>119.92548076923077</v>
      </c>
      <c r="P161" s="15">
        <f t="shared" si="27"/>
        <v>239.85096153846155</v>
      </c>
      <c r="Q161" s="15">
        <f t="shared" si="28"/>
        <v>1199.2548076923076</v>
      </c>
      <c r="R161" s="12">
        <v>56848</v>
      </c>
      <c r="S161" s="15">
        <f t="shared" si="29"/>
        <v>66169</v>
      </c>
      <c r="T161" s="20">
        <f>S161/median_percentile!$B$1</f>
        <v>1.3129160590096927</v>
      </c>
      <c r="U161" s="24" t="str" cm="1">
        <f t="array" ref="U161">_xlfn.IFS(T161&lt;1,"underpaid",T161&gt;1,"overpaid",T161=1,"median pay")</f>
        <v>overpaid</v>
      </c>
      <c r="V161" s="5"/>
    </row>
    <row r="162" spans="1:22" x14ac:dyDescent="0.3">
      <c r="A162" s="21" t="s">
        <v>173</v>
      </c>
      <c r="B162" s="8" t="s">
        <v>1172</v>
      </c>
      <c r="C162" s="8" t="s">
        <v>2016</v>
      </c>
      <c r="D162" s="9">
        <v>44402</v>
      </c>
      <c r="E162" s="10">
        <f t="shared" si="20"/>
        <v>395172</v>
      </c>
      <c r="F162" s="8">
        <v>29135</v>
      </c>
      <c r="G162" s="8">
        <v>3796</v>
      </c>
      <c r="H162" s="11">
        <f t="shared" si="21"/>
        <v>14567.5</v>
      </c>
      <c r="I162" s="11">
        <f t="shared" si="22"/>
        <v>5827</v>
      </c>
      <c r="J162" s="11">
        <f t="shared" si="23"/>
        <v>8740.5</v>
      </c>
      <c r="K162" s="11">
        <f t="shared" si="24"/>
        <v>1748.1</v>
      </c>
      <c r="L162" s="8">
        <v>200</v>
      </c>
      <c r="M162" s="8">
        <f t="shared" si="25"/>
        <v>208</v>
      </c>
      <c r="N162" s="11">
        <v>0</v>
      </c>
      <c r="O162" s="11">
        <f t="shared" si="26"/>
        <v>70.036057692307693</v>
      </c>
      <c r="P162" s="11">
        <f t="shared" si="27"/>
        <v>140.07211538461539</v>
      </c>
      <c r="Q162" s="11">
        <f t="shared" si="28"/>
        <v>0</v>
      </c>
      <c r="R162" s="8">
        <v>31225</v>
      </c>
      <c r="S162" s="11">
        <f t="shared" si="29"/>
        <v>35021</v>
      </c>
      <c r="T162" s="20">
        <f>S162/median_percentile!$B$1</f>
        <v>0.69488179211682888</v>
      </c>
      <c r="U162" s="24" t="str" cm="1">
        <f t="array" ref="U162">_xlfn.IFS(T162&lt;1,"underpaid",T162&gt;1,"overpaid",T162=1,"median pay")</f>
        <v>underpaid</v>
      </c>
      <c r="V162" s="5"/>
    </row>
    <row r="163" spans="1:22" x14ac:dyDescent="0.3">
      <c r="A163" s="22" t="s">
        <v>174</v>
      </c>
      <c r="B163" s="12" t="s">
        <v>1173</v>
      </c>
      <c r="C163" s="12" t="s">
        <v>2014</v>
      </c>
      <c r="D163" s="13">
        <v>45504</v>
      </c>
      <c r="E163" s="14">
        <f t="shared" si="20"/>
        <v>978396</v>
      </c>
      <c r="F163" s="12">
        <v>68041</v>
      </c>
      <c r="G163" s="12">
        <v>13492</v>
      </c>
      <c r="H163" s="15">
        <f t="shared" si="21"/>
        <v>34020.5</v>
      </c>
      <c r="I163" s="15">
        <f t="shared" si="22"/>
        <v>13608.2</v>
      </c>
      <c r="J163" s="15">
        <f t="shared" si="23"/>
        <v>20412.300000000003</v>
      </c>
      <c r="K163" s="15">
        <f t="shared" si="24"/>
        <v>4082.46</v>
      </c>
      <c r="L163" s="12">
        <v>200</v>
      </c>
      <c r="M163" s="12">
        <f t="shared" si="25"/>
        <v>208</v>
      </c>
      <c r="N163" s="15">
        <v>2</v>
      </c>
      <c r="O163" s="15">
        <f t="shared" si="26"/>
        <v>163.56009615384616</v>
      </c>
      <c r="P163" s="15">
        <f t="shared" si="27"/>
        <v>327.12019230769232</v>
      </c>
      <c r="Q163" s="15">
        <f t="shared" si="28"/>
        <v>654.24038461538464</v>
      </c>
      <c r="R163" s="12">
        <v>77251</v>
      </c>
      <c r="S163" s="15">
        <f t="shared" si="29"/>
        <v>90743</v>
      </c>
      <c r="T163" s="20">
        <f>S163/median_percentile!$B$1</f>
        <v>1.8005099358115817</v>
      </c>
      <c r="U163" s="24" t="str" cm="1">
        <f t="array" ref="U163">_xlfn.IFS(T163&lt;1,"underpaid",T163&gt;1,"overpaid",T163=1,"median pay")</f>
        <v>overpaid</v>
      </c>
      <c r="V163" s="5"/>
    </row>
    <row r="164" spans="1:22" x14ac:dyDescent="0.3">
      <c r="A164" s="21" t="s">
        <v>175</v>
      </c>
      <c r="B164" s="8" t="s">
        <v>1174</v>
      </c>
      <c r="C164" s="8" t="s">
        <v>2013</v>
      </c>
      <c r="D164" s="9">
        <v>43887</v>
      </c>
      <c r="E164" s="10">
        <f t="shared" si="20"/>
        <v>889260</v>
      </c>
      <c r="F164" s="8">
        <v>62761</v>
      </c>
      <c r="G164" s="8">
        <v>11344</v>
      </c>
      <c r="H164" s="11">
        <f t="shared" si="21"/>
        <v>31380.5</v>
      </c>
      <c r="I164" s="11">
        <f t="shared" si="22"/>
        <v>12552.2</v>
      </c>
      <c r="J164" s="11">
        <f t="shared" si="23"/>
        <v>18828.300000000003</v>
      </c>
      <c r="K164" s="11">
        <f t="shared" si="24"/>
        <v>3765.66</v>
      </c>
      <c r="L164" s="8">
        <v>200</v>
      </c>
      <c r="M164" s="8">
        <f t="shared" si="25"/>
        <v>208</v>
      </c>
      <c r="N164" s="11">
        <v>4</v>
      </c>
      <c r="O164" s="11">
        <f t="shared" si="26"/>
        <v>150.86778846153845</v>
      </c>
      <c r="P164" s="11">
        <f t="shared" si="27"/>
        <v>301.73557692307691</v>
      </c>
      <c r="Q164" s="11">
        <f t="shared" si="28"/>
        <v>1206.9423076923076</v>
      </c>
      <c r="R164" s="8">
        <v>70140</v>
      </c>
      <c r="S164" s="11">
        <f t="shared" si="29"/>
        <v>81484</v>
      </c>
      <c r="T164" s="20">
        <f>S164/median_percentile!$B$1</f>
        <v>1.616794150619562</v>
      </c>
      <c r="U164" s="24" t="str" cm="1">
        <f t="array" ref="U164">_xlfn.IFS(T164&lt;1,"underpaid",T164&gt;1,"overpaid",T164=1,"median pay")</f>
        <v>overpaid</v>
      </c>
      <c r="V164" s="5"/>
    </row>
    <row r="165" spans="1:22" x14ac:dyDescent="0.3">
      <c r="A165" s="22" t="s">
        <v>176</v>
      </c>
      <c r="B165" s="12" t="s">
        <v>1175</v>
      </c>
      <c r="C165" s="12" t="s">
        <v>2013</v>
      </c>
      <c r="D165" s="13">
        <v>45220</v>
      </c>
      <c r="E165" s="14">
        <f t="shared" si="20"/>
        <v>512220</v>
      </c>
      <c r="F165" s="12">
        <v>37534</v>
      </c>
      <c r="G165" s="12">
        <v>5151</v>
      </c>
      <c r="H165" s="15">
        <f t="shared" si="21"/>
        <v>18767</v>
      </c>
      <c r="I165" s="15">
        <f t="shared" si="22"/>
        <v>7506.8</v>
      </c>
      <c r="J165" s="15">
        <f t="shared" si="23"/>
        <v>11260.2</v>
      </c>
      <c r="K165" s="15">
        <f t="shared" si="24"/>
        <v>2252.04</v>
      </c>
      <c r="L165" s="12">
        <v>200</v>
      </c>
      <c r="M165" s="12">
        <f t="shared" si="25"/>
        <v>208</v>
      </c>
      <c r="N165" s="15">
        <v>1</v>
      </c>
      <c r="O165" s="15">
        <f t="shared" si="26"/>
        <v>90.225961538461533</v>
      </c>
      <c r="P165" s="15">
        <f t="shared" si="27"/>
        <v>180.45192307692307</v>
      </c>
      <c r="Q165" s="15">
        <f t="shared" si="28"/>
        <v>180.45192307692307</v>
      </c>
      <c r="R165" s="12">
        <v>40545</v>
      </c>
      <c r="S165" s="15">
        <f t="shared" si="29"/>
        <v>45696</v>
      </c>
      <c r="T165" s="20">
        <f>S165/median_percentile!$B$1</f>
        <v>0.90669365159677373</v>
      </c>
      <c r="U165" s="24" t="str" cm="1">
        <f t="array" ref="U165">_xlfn.IFS(T165&lt;1,"underpaid",T165&gt;1,"overpaid",T165=1,"median pay")</f>
        <v>underpaid</v>
      </c>
      <c r="V165" s="5"/>
    </row>
    <row r="166" spans="1:22" x14ac:dyDescent="0.3">
      <c r="A166" s="21" t="s">
        <v>177</v>
      </c>
      <c r="B166" s="8" t="s">
        <v>1176</v>
      </c>
      <c r="C166" s="8" t="s">
        <v>2011</v>
      </c>
      <c r="D166" s="9">
        <v>45550</v>
      </c>
      <c r="E166" s="10">
        <f t="shared" si="20"/>
        <v>573744</v>
      </c>
      <c r="F166" s="8">
        <v>42818</v>
      </c>
      <c r="G166" s="8">
        <v>4994</v>
      </c>
      <c r="H166" s="11">
        <f t="shared" si="21"/>
        <v>21409</v>
      </c>
      <c r="I166" s="11">
        <f t="shared" si="22"/>
        <v>8563.6</v>
      </c>
      <c r="J166" s="11">
        <f t="shared" si="23"/>
        <v>12845.400000000001</v>
      </c>
      <c r="K166" s="11">
        <f t="shared" si="24"/>
        <v>2569.08</v>
      </c>
      <c r="L166" s="8">
        <v>200</v>
      </c>
      <c r="M166" s="8">
        <f t="shared" si="25"/>
        <v>208</v>
      </c>
      <c r="N166" s="11">
        <v>4</v>
      </c>
      <c r="O166" s="11">
        <f t="shared" si="26"/>
        <v>102.92788461538461</v>
      </c>
      <c r="P166" s="11">
        <f t="shared" si="27"/>
        <v>205.85576923076923</v>
      </c>
      <c r="Q166" s="11">
        <f t="shared" si="28"/>
        <v>823.42307692307691</v>
      </c>
      <c r="R166" s="8">
        <v>45756</v>
      </c>
      <c r="S166" s="11">
        <f t="shared" si="29"/>
        <v>50750</v>
      </c>
      <c r="T166" s="20">
        <f>S166/median_percentile!$B$1</f>
        <v>1.0069744139210492</v>
      </c>
      <c r="U166" s="24" t="str" cm="1">
        <f t="array" ref="U166">_xlfn.IFS(T166&lt;1,"underpaid",T166&gt;1,"overpaid",T166=1,"median pay")</f>
        <v>overpaid</v>
      </c>
      <c r="V166" s="5"/>
    </row>
    <row r="167" spans="1:22" x14ac:dyDescent="0.3">
      <c r="A167" s="22" t="s">
        <v>178</v>
      </c>
      <c r="B167" s="12" t="s">
        <v>1177</v>
      </c>
      <c r="C167" s="12" t="s">
        <v>2013</v>
      </c>
      <c r="D167" s="13">
        <v>45730</v>
      </c>
      <c r="E167" s="14">
        <f t="shared" si="20"/>
        <v>757908</v>
      </c>
      <c r="F167" s="12">
        <v>56009</v>
      </c>
      <c r="G167" s="12">
        <v>7150</v>
      </c>
      <c r="H167" s="15">
        <f t="shared" si="21"/>
        <v>28004.5</v>
      </c>
      <c r="I167" s="15">
        <f t="shared" si="22"/>
        <v>11201.800000000001</v>
      </c>
      <c r="J167" s="15">
        <f t="shared" si="23"/>
        <v>16802.699999999997</v>
      </c>
      <c r="K167" s="15">
        <f t="shared" si="24"/>
        <v>3360.54</v>
      </c>
      <c r="L167" s="12">
        <v>200</v>
      </c>
      <c r="M167" s="12">
        <f t="shared" si="25"/>
        <v>208</v>
      </c>
      <c r="N167" s="15">
        <v>4</v>
      </c>
      <c r="O167" s="15">
        <f t="shared" si="26"/>
        <v>134.63701923076923</v>
      </c>
      <c r="P167" s="15">
        <f t="shared" si="27"/>
        <v>269.27403846153845</v>
      </c>
      <c r="Q167" s="15">
        <f t="shared" si="28"/>
        <v>1077.0961538461538</v>
      </c>
      <c r="R167" s="12">
        <v>59599</v>
      </c>
      <c r="S167" s="15">
        <f t="shared" si="29"/>
        <v>66749</v>
      </c>
      <c r="T167" s="20">
        <f>S167/median_percentile!$B$1</f>
        <v>1.3244243380259333</v>
      </c>
      <c r="U167" s="24" t="str" cm="1">
        <f t="array" ref="U167">_xlfn.IFS(T167&lt;1,"underpaid",T167&gt;1,"overpaid",T167=1,"median pay")</f>
        <v>overpaid</v>
      </c>
      <c r="V167" s="5"/>
    </row>
    <row r="168" spans="1:22" x14ac:dyDescent="0.3">
      <c r="A168" s="21" t="s">
        <v>179</v>
      </c>
      <c r="B168" s="8" t="s">
        <v>1178</v>
      </c>
      <c r="C168" s="8" t="s">
        <v>2016</v>
      </c>
      <c r="D168" s="9">
        <v>44278</v>
      </c>
      <c r="E168" s="10">
        <f t="shared" si="20"/>
        <v>648084</v>
      </c>
      <c r="F168" s="8">
        <v>46558</v>
      </c>
      <c r="G168" s="8">
        <v>7449</v>
      </c>
      <c r="H168" s="11">
        <f t="shared" si="21"/>
        <v>23279</v>
      </c>
      <c r="I168" s="11">
        <f t="shared" si="22"/>
        <v>9311.6</v>
      </c>
      <c r="J168" s="11">
        <f t="shared" si="23"/>
        <v>13967.400000000001</v>
      </c>
      <c r="K168" s="11">
        <f t="shared" si="24"/>
        <v>2793.48</v>
      </c>
      <c r="L168" s="8">
        <v>200</v>
      </c>
      <c r="M168" s="8">
        <f t="shared" si="25"/>
        <v>208</v>
      </c>
      <c r="N168" s="11">
        <v>3</v>
      </c>
      <c r="O168" s="11">
        <f t="shared" si="26"/>
        <v>111.91826923076923</v>
      </c>
      <c r="P168" s="11">
        <f t="shared" si="27"/>
        <v>223.83653846153845</v>
      </c>
      <c r="Q168" s="11">
        <f t="shared" si="28"/>
        <v>671.50961538461536</v>
      </c>
      <c r="R168" s="8">
        <v>51789</v>
      </c>
      <c r="S168" s="11">
        <f t="shared" si="29"/>
        <v>59238</v>
      </c>
      <c r="T168" s="20">
        <f>S168/median_percentile!$B$1</f>
        <v>1.1753921247656181</v>
      </c>
      <c r="U168" s="24" t="str" cm="1">
        <f t="array" ref="U168">_xlfn.IFS(T168&lt;1,"underpaid",T168&gt;1,"overpaid",T168=1,"median pay")</f>
        <v>overpaid</v>
      </c>
      <c r="V168" s="5"/>
    </row>
    <row r="169" spans="1:22" x14ac:dyDescent="0.3">
      <c r="A169" s="22" t="s">
        <v>180</v>
      </c>
      <c r="B169" s="12" t="s">
        <v>1179</v>
      </c>
      <c r="C169" s="12" t="s">
        <v>2014</v>
      </c>
      <c r="D169" s="13">
        <v>44714</v>
      </c>
      <c r="E169" s="14">
        <f t="shared" si="20"/>
        <v>685920</v>
      </c>
      <c r="F169" s="12">
        <v>51302</v>
      </c>
      <c r="G169" s="12">
        <v>5858</v>
      </c>
      <c r="H169" s="15">
        <f t="shared" si="21"/>
        <v>25651</v>
      </c>
      <c r="I169" s="15">
        <f t="shared" si="22"/>
        <v>10260.400000000001</v>
      </c>
      <c r="J169" s="15">
        <f t="shared" si="23"/>
        <v>15390.599999999999</v>
      </c>
      <c r="K169" s="15">
        <f t="shared" si="24"/>
        <v>3078.12</v>
      </c>
      <c r="L169" s="12">
        <v>200</v>
      </c>
      <c r="M169" s="12">
        <f t="shared" si="25"/>
        <v>208</v>
      </c>
      <c r="N169" s="15">
        <v>3</v>
      </c>
      <c r="O169" s="15">
        <f t="shared" si="26"/>
        <v>123.32211538461539</v>
      </c>
      <c r="P169" s="15">
        <f t="shared" si="27"/>
        <v>246.64423076923077</v>
      </c>
      <c r="Q169" s="15">
        <f t="shared" si="28"/>
        <v>739.93269230769238</v>
      </c>
      <c r="R169" s="12">
        <v>53882</v>
      </c>
      <c r="S169" s="15">
        <f t="shared" si="29"/>
        <v>59740</v>
      </c>
      <c r="T169" s="20">
        <f>S169/median_percentile!$B$1</f>
        <v>1.185352738672778</v>
      </c>
      <c r="U169" s="24" t="str" cm="1">
        <f t="array" ref="U169">_xlfn.IFS(T169&lt;1,"underpaid",T169&gt;1,"overpaid",T169=1,"median pay")</f>
        <v>overpaid</v>
      </c>
      <c r="V169" s="5"/>
    </row>
    <row r="170" spans="1:22" x14ac:dyDescent="0.3">
      <c r="A170" s="21" t="s">
        <v>181</v>
      </c>
      <c r="B170" s="8" t="s">
        <v>1180</v>
      </c>
      <c r="C170" s="8" t="s">
        <v>2016</v>
      </c>
      <c r="D170" s="9">
        <v>44579</v>
      </c>
      <c r="E170" s="10">
        <f t="shared" si="20"/>
        <v>660612</v>
      </c>
      <c r="F170" s="8">
        <v>47944</v>
      </c>
      <c r="G170" s="8">
        <v>7107</v>
      </c>
      <c r="H170" s="11">
        <f t="shared" si="21"/>
        <v>23972</v>
      </c>
      <c r="I170" s="11">
        <f t="shared" si="22"/>
        <v>9588.8000000000011</v>
      </c>
      <c r="J170" s="11">
        <f t="shared" si="23"/>
        <v>14383.199999999997</v>
      </c>
      <c r="K170" s="11">
        <f t="shared" si="24"/>
        <v>2876.64</v>
      </c>
      <c r="L170" s="8">
        <v>200</v>
      </c>
      <c r="M170" s="8">
        <f t="shared" si="25"/>
        <v>208</v>
      </c>
      <c r="N170" s="11">
        <v>5</v>
      </c>
      <c r="O170" s="11">
        <f t="shared" si="26"/>
        <v>115.25</v>
      </c>
      <c r="P170" s="11">
        <f t="shared" si="27"/>
        <v>230.5</v>
      </c>
      <c r="Q170" s="11">
        <f t="shared" si="28"/>
        <v>1152.5</v>
      </c>
      <c r="R170" s="8">
        <v>51975</v>
      </c>
      <c r="S170" s="11">
        <f t="shared" si="29"/>
        <v>59082</v>
      </c>
      <c r="T170" s="20">
        <f>S170/median_percentile!$B$1</f>
        <v>1.1722967945474567</v>
      </c>
      <c r="U170" s="24" t="str" cm="1">
        <f t="array" ref="U170">_xlfn.IFS(T170&lt;1,"underpaid",T170&gt;1,"overpaid",T170=1,"median pay")</f>
        <v>overpaid</v>
      </c>
      <c r="V170" s="5"/>
    </row>
    <row r="171" spans="1:22" x14ac:dyDescent="0.3">
      <c r="A171" s="22" t="s">
        <v>182</v>
      </c>
      <c r="B171" s="12" t="s">
        <v>1181</v>
      </c>
      <c r="C171" s="12" t="s">
        <v>2015</v>
      </c>
      <c r="D171" s="13">
        <v>45613</v>
      </c>
      <c r="E171" s="14">
        <f t="shared" si="20"/>
        <v>665076</v>
      </c>
      <c r="F171" s="12">
        <v>49667</v>
      </c>
      <c r="G171" s="12">
        <v>5756</v>
      </c>
      <c r="H171" s="15">
        <f t="shared" si="21"/>
        <v>24833.5</v>
      </c>
      <c r="I171" s="15">
        <f t="shared" si="22"/>
        <v>9933.4000000000015</v>
      </c>
      <c r="J171" s="15">
        <f t="shared" si="23"/>
        <v>14900.099999999999</v>
      </c>
      <c r="K171" s="15">
        <f t="shared" si="24"/>
        <v>2980.02</v>
      </c>
      <c r="L171" s="12">
        <v>200</v>
      </c>
      <c r="M171" s="12">
        <f t="shared" si="25"/>
        <v>208</v>
      </c>
      <c r="N171" s="15">
        <v>2</v>
      </c>
      <c r="O171" s="15">
        <f t="shared" si="26"/>
        <v>119.39182692307692</v>
      </c>
      <c r="P171" s="15">
        <f t="shared" si="27"/>
        <v>238.78365384615384</v>
      </c>
      <c r="Q171" s="15">
        <f t="shared" si="28"/>
        <v>477.56730769230768</v>
      </c>
      <c r="R171" s="12">
        <v>52657</v>
      </c>
      <c r="S171" s="15">
        <f t="shared" si="29"/>
        <v>58413</v>
      </c>
      <c r="T171" s="20">
        <f>S171/median_percentile!$B$1</f>
        <v>1.1590225899580344</v>
      </c>
      <c r="U171" s="24" t="str" cm="1">
        <f t="array" ref="U171">_xlfn.IFS(T171&lt;1,"underpaid",T171&gt;1,"overpaid",T171=1,"median pay")</f>
        <v>overpaid</v>
      </c>
      <c r="V171" s="5"/>
    </row>
    <row r="172" spans="1:22" x14ac:dyDescent="0.3">
      <c r="A172" s="21" t="s">
        <v>183</v>
      </c>
      <c r="B172" s="8" t="s">
        <v>1182</v>
      </c>
      <c r="C172" s="8" t="s">
        <v>2015</v>
      </c>
      <c r="D172" s="9">
        <v>44626</v>
      </c>
      <c r="E172" s="10">
        <f t="shared" si="20"/>
        <v>549192</v>
      </c>
      <c r="F172" s="8">
        <v>40600</v>
      </c>
      <c r="G172" s="8">
        <v>5166</v>
      </c>
      <c r="H172" s="11">
        <f t="shared" si="21"/>
        <v>20300</v>
      </c>
      <c r="I172" s="11">
        <f t="shared" si="22"/>
        <v>8120</v>
      </c>
      <c r="J172" s="11">
        <f t="shared" si="23"/>
        <v>12180</v>
      </c>
      <c r="K172" s="11">
        <f t="shared" si="24"/>
        <v>2436</v>
      </c>
      <c r="L172" s="8">
        <v>200</v>
      </c>
      <c r="M172" s="8">
        <f t="shared" si="25"/>
        <v>208</v>
      </c>
      <c r="N172" s="11">
        <v>3</v>
      </c>
      <c r="O172" s="11">
        <f t="shared" si="26"/>
        <v>97.59615384615384</v>
      </c>
      <c r="P172" s="11">
        <f t="shared" si="27"/>
        <v>195.19230769230768</v>
      </c>
      <c r="Q172" s="11">
        <f t="shared" si="28"/>
        <v>585.57692307692309</v>
      </c>
      <c r="R172" s="8">
        <v>43468</v>
      </c>
      <c r="S172" s="11">
        <f t="shared" si="29"/>
        <v>48634</v>
      </c>
      <c r="T172" s="20">
        <f>S172/median_percentile!$B$1</f>
        <v>0.96498903737214403</v>
      </c>
      <c r="U172" s="24" t="str" cm="1">
        <f t="array" ref="U172">_xlfn.IFS(T172&lt;1,"underpaid",T172&gt;1,"overpaid",T172=1,"median pay")</f>
        <v>underpaid</v>
      </c>
      <c r="V172" s="5"/>
    </row>
    <row r="173" spans="1:22" x14ac:dyDescent="0.3">
      <c r="A173" s="22" t="s">
        <v>184</v>
      </c>
      <c r="B173" s="12" t="s">
        <v>1183</v>
      </c>
      <c r="C173" s="12" t="s">
        <v>2011</v>
      </c>
      <c r="D173" s="13">
        <v>45217</v>
      </c>
      <c r="E173" s="14">
        <f t="shared" si="20"/>
        <v>456816</v>
      </c>
      <c r="F173" s="12">
        <v>34083</v>
      </c>
      <c r="G173" s="12">
        <v>3985</v>
      </c>
      <c r="H173" s="15">
        <f t="shared" si="21"/>
        <v>17041.5</v>
      </c>
      <c r="I173" s="15">
        <f t="shared" si="22"/>
        <v>6816.6</v>
      </c>
      <c r="J173" s="15">
        <f t="shared" si="23"/>
        <v>10224.900000000001</v>
      </c>
      <c r="K173" s="15">
        <f t="shared" si="24"/>
        <v>2044.98</v>
      </c>
      <c r="L173" s="12">
        <v>200</v>
      </c>
      <c r="M173" s="12">
        <f t="shared" si="25"/>
        <v>208</v>
      </c>
      <c r="N173" s="15">
        <v>4</v>
      </c>
      <c r="O173" s="15">
        <f t="shared" si="26"/>
        <v>81.930288461538467</v>
      </c>
      <c r="P173" s="15">
        <f t="shared" si="27"/>
        <v>163.86057692307693</v>
      </c>
      <c r="Q173" s="15">
        <f t="shared" si="28"/>
        <v>655.44230769230774</v>
      </c>
      <c r="R173" s="12">
        <v>36392</v>
      </c>
      <c r="S173" s="15">
        <f t="shared" si="29"/>
        <v>40377</v>
      </c>
      <c r="T173" s="20">
        <f>S173/median_percentile!$B$1</f>
        <v>0.80115479627369868</v>
      </c>
      <c r="U173" s="24" t="str" cm="1">
        <f t="array" ref="U173">_xlfn.IFS(T173&lt;1,"underpaid",T173&gt;1,"overpaid",T173=1,"median pay")</f>
        <v>underpaid</v>
      </c>
      <c r="V173" s="5"/>
    </row>
    <row r="174" spans="1:22" x14ac:dyDescent="0.3">
      <c r="A174" s="21" t="s">
        <v>185</v>
      </c>
      <c r="B174" s="8" t="s">
        <v>1184</v>
      </c>
      <c r="C174" s="8" t="s">
        <v>2013</v>
      </c>
      <c r="D174" s="9">
        <v>45113</v>
      </c>
      <c r="E174" s="10">
        <f t="shared" si="20"/>
        <v>461172</v>
      </c>
      <c r="F174" s="8">
        <v>32448</v>
      </c>
      <c r="G174" s="8">
        <v>5983</v>
      </c>
      <c r="H174" s="11">
        <f t="shared" si="21"/>
        <v>16224</v>
      </c>
      <c r="I174" s="11">
        <f t="shared" si="22"/>
        <v>6489.6</v>
      </c>
      <c r="J174" s="11">
        <f t="shared" si="23"/>
        <v>9734.4000000000015</v>
      </c>
      <c r="K174" s="11">
        <f t="shared" si="24"/>
        <v>1946.8799999999999</v>
      </c>
      <c r="L174" s="8">
        <v>200</v>
      </c>
      <c r="M174" s="8">
        <f t="shared" si="25"/>
        <v>208</v>
      </c>
      <c r="N174" s="11">
        <v>0</v>
      </c>
      <c r="O174" s="11">
        <f t="shared" si="26"/>
        <v>78</v>
      </c>
      <c r="P174" s="11">
        <f t="shared" si="27"/>
        <v>156</v>
      </c>
      <c r="Q174" s="11">
        <f t="shared" si="28"/>
        <v>0</v>
      </c>
      <c r="R174" s="8">
        <v>36825</v>
      </c>
      <c r="S174" s="11">
        <f t="shared" si="29"/>
        <v>42808</v>
      </c>
      <c r="T174" s="20">
        <f>S174/median_percentile!$B$1</f>
        <v>0.84939035884004488</v>
      </c>
      <c r="U174" s="24" t="str" cm="1">
        <f t="array" ref="U174">_xlfn.IFS(T174&lt;1,"underpaid",T174&gt;1,"overpaid",T174=1,"median pay")</f>
        <v>underpaid</v>
      </c>
      <c r="V174" s="5"/>
    </row>
    <row r="175" spans="1:22" x14ac:dyDescent="0.3">
      <c r="A175" s="22" t="s">
        <v>186</v>
      </c>
      <c r="B175" s="12" t="s">
        <v>1185</v>
      </c>
      <c r="C175" s="12" t="s">
        <v>2012</v>
      </c>
      <c r="D175" s="13">
        <v>44427</v>
      </c>
      <c r="E175" s="14">
        <f t="shared" si="20"/>
        <v>476700</v>
      </c>
      <c r="F175" s="12">
        <v>33291</v>
      </c>
      <c r="G175" s="12">
        <v>6434</v>
      </c>
      <c r="H175" s="15">
        <f t="shared" si="21"/>
        <v>16645.5</v>
      </c>
      <c r="I175" s="15">
        <f t="shared" si="22"/>
        <v>6658.2000000000007</v>
      </c>
      <c r="J175" s="15">
        <f t="shared" si="23"/>
        <v>9987.2999999999993</v>
      </c>
      <c r="K175" s="15">
        <f t="shared" si="24"/>
        <v>1997.46</v>
      </c>
      <c r="L175" s="12">
        <v>200</v>
      </c>
      <c r="M175" s="12">
        <f t="shared" si="25"/>
        <v>208</v>
      </c>
      <c r="N175" s="15">
        <v>1</v>
      </c>
      <c r="O175" s="15">
        <f t="shared" si="26"/>
        <v>80.026442307692307</v>
      </c>
      <c r="P175" s="15">
        <f t="shared" si="27"/>
        <v>160.05288461538461</v>
      </c>
      <c r="Q175" s="15">
        <f t="shared" si="28"/>
        <v>160.05288461538461</v>
      </c>
      <c r="R175" s="12">
        <v>37528</v>
      </c>
      <c r="S175" s="15">
        <f t="shared" si="29"/>
        <v>43962</v>
      </c>
      <c r="T175" s="20">
        <f>S175/median_percentile!$B$1</f>
        <v>0.87228786571028905</v>
      </c>
      <c r="U175" s="24" t="str" cm="1">
        <f t="array" ref="U175">_xlfn.IFS(T175&lt;1,"underpaid",T175&gt;1,"overpaid",T175=1,"median pay")</f>
        <v>underpaid</v>
      </c>
      <c r="V175" s="5"/>
    </row>
    <row r="176" spans="1:22" x14ac:dyDescent="0.3">
      <c r="A176" s="21" t="s">
        <v>187</v>
      </c>
      <c r="B176" s="8" t="s">
        <v>1186</v>
      </c>
      <c r="C176" s="8" t="s">
        <v>2016</v>
      </c>
      <c r="D176" s="9">
        <v>43630</v>
      </c>
      <c r="E176" s="10">
        <f t="shared" si="20"/>
        <v>418932</v>
      </c>
      <c r="F176" s="8">
        <v>31715</v>
      </c>
      <c r="G176" s="8">
        <v>3196</v>
      </c>
      <c r="H176" s="11">
        <f t="shared" si="21"/>
        <v>15857.5</v>
      </c>
      <c r="I176" s="11">
        <f t="shared" si="22"/>
        <v>6343</v>
      </c>
      <c r="J176" s="11">
        <f t="shared" si="23"/>
        <v>9514.5</v>
      </c>
      <c r="K176" s="11">
        <f t="shared" si="24"/>
        <v>1902.8999999999999</v>
      </c>
      <c r="L176" s="8">
        <v>200</v>
      </c>
      <c r="M176" s="8">
        <f t="shared" si="25"/>
        <v>208</v>
      </c>
      <c r="N176" s="11">
        <v>4</v>
      </c>
      <c r="O176" s="11">
        <f t="shared" si="26"/>
        <v>76.237980769230774</v>
      </c>
      <c r="P176" s="11">
        <f t="shared" si="27"/>
        <v>152.47596153846155</v>
      </c>
      <c r="Q176" s="11">
        <f t="shared" si="28"/>
        <v>609.90384615384619</v>
      </c>
      <c r="R176" s="8">
        <v>33337</v>
      </c>
      <c r="S176" s="11">
        <f t="shared" si="29"/>
        <v>36533</v>
      </c>
      <c r="T176" s="20">
        <f>S176/median_percentile!$B$1</f>
        <v>0.72488268500054565</v>
      </c>
      <c r="U176" s="24" t="str" cm="1">
        <f t="array" ref="U176">_xlfn.IFS(T176&lt;1,"underpaid",T176&gt;1,"overpaid",T176=1,"median pay")</f>
        <v>underpaid</v>
      </c>
      <c r="V176" s="5"/>
    </row>
    <row r="177" spans="1:22" x14ac:dyDescent="0.3">
      <c r="A177" s="22" t="s">
        <v>188</v>
      </c>
      <c r="B177" s="12" t="s">
        <v>1187</v>
      </c>
      <c r="C177" s="12" t="s">
        <v>2011</v>
      </c>
      <c r="D177" s="13">
        <v>44350</v>
      </c>
      <c r="E177" s="14">
        <f t="shared" si="20"/>
        <v>558420</v>
      </c>
      <c r="F177" s="12">
        <v>39641</v>
      </c>
      <c r="G177" s="12">
        <v>6894</v>
      </c>
      <c r="H177" s="15">
        <f t="shared" si="21"/>
        <v>19820.5</v>
      </c>
      <c r="I177" s="15">
        <f t="shared" si="22"/>
        <v>7928.2000000000007</v>
      </c>
      <c r="J177" s="15">
        <f t="shared" si="23"/>
        <v>11892.3</v>
      </c>
      <c r="K177" s="15">
        <f t="shared" si="24"/>
        <v>2378.46</v>
      </c>
      <c r="L177" s="12">
        <v>200</v>
      </c>
      <c r="M177" s="12">
        <f t="shared" si="25"/>
        <v>208</v>
      </c>
      <c r="N177" s="15">
        <v>0</v>
      </c>
      <c r="O177" s="15">
        <f t="shared" si="26"/>
        <v>95.290865384615387</v>
      </c>
      <c r="P177" s="15">
        <f t="shared" si="27"/>
        <v>190.58173076923077</v>
      </c>
      <c r="Q177" s="15">
        <f t="shared" si="28"/>
        <v>0</v>
      </c>
      <c r="R177" s="12">
        <v>43957</v>
      </c>
      <c r="S177" s="15">
        <f t="shared" si="29"/>
        <v>50851</v>
      </c>
      <c r="T177" s="20">
        <f>S177/median_percentile!$B$1</f>
        <v>1.0089784418187049</v>
      </c>
      <c r="U177" s="24" t="str" cm="1">
        <f t="array" ref="U177">_xlfn.IFS(T177&lt;1,"underpaid",T177&gt;1,"overpaid",T177=1,"median pay")</f>
        <v>overpaid</v>
      </c>
      <c r="V177" s="5"/>
    </row>
    <row r="178" spans="1:22" x14ac:dyDescent="0.3">
      <c r="A178" s="21" t="s">
        <v>189</v>
      </c>
      <c r="B178" s="8" t="s">
        <v>1188</v>
      </c>
      <c r="C178" s="8" t="s">
        <v>2012</v>
      </c>
      <c r="D178" s="9">
        <v>45426</v>
      </c>
      <c r="E178" s="10">
        <f t="shared" si="20"/>
        <v>387540</v>
      </c>
      <c r="F178" s="8">
        <v>28339</v>
      </c>
      <c r="G178" s="8">
        <v>3956</v>
      </c>
      <c r="H178" s="11">
        <f t="shared" si="21"/>
        <v>14169.5</v>
      </c>
      <c r="I178" s="11">
        <f t="shared" si="22"/>
        <v>5667.8</v>
      </c>
      <c r="J178" s="11">
        <f t="shared" si="23"/>
        <v>8501.7000000000007</v>
      </c>
      <c r="K178" s="11">
        <f t="shared" si="24"/>
        <v>1700.34</v>
      </c>
      <c r="L178" s="8">
        <v>200</v>
      </c>
      <c r="M178" s="8">
        <f t="shared" si="25"/>
        <v>208</v>
      </c>
      <c r="N178" s="11">
        <v>0</v>
      </c>
      <c r="O178" s="11">
        <f t="shared" si="26"/>
        <v>68.12259615384616</v>
      </c>
      <c r="P178" s="11">
        <f t="shared" si="27"/>
        <v>136.24519230769232</v>
      </c>
      <c r="Q178" s="11">
        <f t="shared" si="28"/>
        <v>0</v>
      </c>
      <c r="R178" s="8">
        <v>30395</v>
      </c>
      <c r="S178" s="11">
        <f t="shared" si="29"/>
        <v>34351</v>
      </c>
      <c r="T178" s="20">
        <f>S178/median_percentile!$B$1</f>
        <v>0.68158774566703373</v>
      </c>
      <c r="U178" s="24" t="str" cm="1">
        <f t="array" ref="U178">_xlfn.IFS(T178&lt;1,"underpaid",T178&gt;1,"overpaid",T178=1,"median pay")</f>
        <v>underpaid</v>
      </c>
      <c r="V178" s="5"/>
    </row>
    <row r="179" spans="1:22" x14ac:dyDescent="0.3">
      <c r="A179" s="22" t="s">
        <v>190</v>
      </c>
      <c r="B179" s="12" t="s">
        <v>1189</v>
      </c>
      <c r="C179" s="12" t="s">
        <v>2016</v>
      </c>
      <c r="D179" s="13">
        <v>43997</v>
      </c>
      <c r="E179" s="14">
        <f t="shared" si="20"/>
        <v>580812</v>
      </c>
      <c r="F179" s="12">
        <v>43373</v>
      </c>
      <c r="G179" s="12">
        <v>5028</v>
      </c>
      <c r="H179" s="15">
        <f t="shared" si="21"/>
        <v>21686.5</v>
      </c>
      <c r="I179" s="15">
        <f t="shared" si="22"/>
        <v>8674.6</v>
      </c>
      <c r="J179" s="15">
        <f t="shared" si="23"/>
        <v>13011.900000000001</v>
      </c>
      <c r="K179" s="15">
        <f t="shared" si="24"/>
        <v>2602.38</v>
      </c>
      <c r="L179" s="12">
        <v>200</v>
      </c>
      <c r="M179" s="12">
        <f t="shared" si="25"/>
        <v>208</v>
      </c>
      <c r="N179" s="15">
        <v>1</v>
      </c>
      <c r="O179" s="15">
        <f t="shared" si="26"/>
        <v>104.26201923076923</v>
      </c>
      <c r="P179" s="15">
        <f t="shared" si="27"/>
        <v>208.52403846153845</v>
      </c>
      <c r="Q179" s="15">
        <f t="shared" si="28"/>
        <v>208.52403846153845</v>
      </c>
      <c r="R179" s="12">
        <v>45599</v>
      </c>
      <c r="S179" s="15">
        <f t="shared" si="29"/>
        <v>50627</v>
      </c>
      <c r="T179" s="20">
        <f>S179/median_percentile!$B$1</f>
        <v>1.0045338650951914</v>
      </c>
      <c r="U179" s="24" t="str" cm="1">
        <f t="array" ref="U179">_xlfn.IFS(T179&lt;1,"underpaid",T179&gt;1,"overpaid",T179=1,"median pay")</f>
        <v>overpaid</v>
      </c>
      <c r="V179" s="5"/>
    </row>
    <row r="180" spans="1:22" x14ac:dyDescent="0.3">
      <c r="A180" s="21" t="s">
        <v>191</v>
      </c>
      <c r="B180" s="8" t="s">
        <v>1190</v>
      </c>
      <c r="C180" s="8" t="s">
        <v>2013</v>
      </c>
      <c r="D180" s="9">
        <v>44061</v>
      </c>
      <c r="E180" s="10">
        <f t="shared" si="20"/>
        <v>763788</v>
      </c>
      <c r="F180" s="8">
        <v>56809</v>
      </c>
      <c r="G180" s="8">
        <v>6840</v>
      </c>
      <c r="H180" s="11">
        <f t="shared" si="21"/>
        <v>28404.5</v>
      </c>
      <c r="I180" s="11">
        <f t="shared" si="22"/>
        <v>11361.800000000001</v>
      </c>
      <c r="J180" s="11">
        <f t="shared" si="23"/>
        <v>17042.699999999997</v>
      </c>
      <c r="K180" s="11">
        <f t="shared" si="24"/>
        <v>3408.54</v>
      </c>
      <c r="L180" s="8">
        <v>200</v>
      </c>
      <c r="M180" s="8">
        <f t="shared" si="25"/>
        <v>208</v>
      </c>
      <c r="N180" s="11">
        <v>4</v>
      </c>
      <c r="O180" s="11">
        <f t="shared" si="26"/>
        <v>136.56009615384616</v>
      </c>
      <c r="P180" s="11">
        <f t="shared" si="27"/>
        <v>273.12019230769232</v>
      </c>
      <c r="Q180" s="11">
        <f t="shared" si="28"/>
        <v>1092.4807692307693</v>
      </c>
      <c r="R180" s="8">
        <v>60041</v>
      </c>
      <c r="S180" s="11">
        <f t="shared" si="29"/>
        <v>66881</v>
      </c>
      <c r="T180" s="20">
        <f>S180/median_percentile!$B$1</f>
        <v>1.3270434635951467</v>
      </c>
      <c r="U180" s="24" t="str" cm="1">
        <f t="array" ref="U180">_xlfn.IFS(T180&lt;1,"underpaid",T180&gt;1,"overpaid",T180=1,"median pay")</f>
        <v>overpaid</v>
      </c>
      <c r="V180" s="5"/>
    </row>
    <row r="181" spans="1:22" x14ac:dyDescent="0.3">
      <c r="A181" s="22" t="s">
        <v>192</v>
      </c>
      <c r="B181" s="12" t="s">
        <v>1191</v>
      </c>
      <c r="C181" s="12" t="s">
        <v>2013</v>
      </c>
      <c r="D181" s="13">
        <v>43628</v>
      </c>
      <c r="E181" s="14">
        <f t="shared" si="20"/>
        <v>684708</v>
      </c>
      <c r="F181" s="12">
        <v>50274</v>
      </c>
      <c r="G181" s="12">
        <v>6785</v>
      </c>
      <c r="H181" s="15">
        <f t="shared" si="21"/>
        <v>25137</v>
      </c>
      <c r="I181" s="15">
        <f t="shared" si="22"/>
        <v>10054.800000000001</v>
      </c>
      <c r="J181" s="15">
        <f t="shared" si="23"/>
        <v>15082.199999999997</v>
      </c>
      <c r="K181" s="15">
        <f t="shared" si="24"/>
        <v>3016.44</v>
      </c>
      <c r="L181" s="12">
        <v>200</v>
      </c>
      <c r="M181" s="12">
        <f t="shared" si="25"/>
        <v>208</v>
      </c>
      <c r="N181" s="15">
        <v>0</v>
      </c>
      <c r="O181" s="15">
        <f t="shared" si="26"/>
        <v>120.85096153846153</v>
      </c>
      <c r="P181" s="15">
        <f t="shared" si="27"/>
        <v>241.70192307692307</v>
      </c>
      <c r="Q181" s="15">
        <f t="shared" si="28"/>
        <v>0</v>
      </c>
      <c r="R181" s="12">
        <v>53843</v>
      </c>
      <c r="S181" s="15">
        <f t="shared" si="29"/>
        <v>60628</v>
      </c>
      <c r="T181" s="20">
        <f>S181/median_percentile!$B$1</f>
        <v>1.2029723106838497</v>
      </c>
      <c r="U181" s="24" t="str" cm="1">
        <f t="array" ref="U181">_xlfn.IFS(T181&lt;1,"underpaid",T181&gt;1,"overpaid",T181=1,"median pay")</f>
        <v>overpaid</v>
      </c>
      <c r="V181" s="5"/>
    </row>
    <row r="182" spans="1:22" x14ac:dyDescent="0.3">
      <c r="A182" s="21" t="s">
        <v>193</v>
      </c>
      <c r="B182" s="8" t="s">
        <v>1192</v>
      </c>
      <c r="C182" s="8" t="s">
        <v>2014</v>
      </c>
      <c r="D182" s="9">
        <v>45315</v>
      </c>
      <c r="E182" s="10">
        <f t="shared" si="20"/>
        <v>546144</v>
      </c>
      <c r="F182" s="8">
        <v>39493</v>
      </c>
      <c r="G182" s="8">
        <v>6019</v>
      </c>
      <c r="H182" s="11">
        <f t="shared" si="21"/>
        <v>19746.5</v>
      </c>
      <c r="I182" s="11">
        <f t="shared" si="22"/>
        <v>7898.6</v>
      </c>
      <c r="J182" s="11">
        <f t="shared" si="23"/>
        <v>11847.900000000001</v>
      </c>
      <c r="K182" s="11">
        <f t="shared" si="24"/>
        <v>2369.58</v>
      </c>
      <c r="L182" s="8">
        <v>200</v>
      </c>
      <c r="M182" s="8">
        <f t="shared" si="25"/>
        <v>208</v>
      </c>
      <c r="N182" s="11">
        <v>2</v>
      </c>
      <c r="O182" s="11">
        <f t="shared" si="26"/>
        <v>94.93509615384616</v>
      </c>
      <c r="P182" s="11">
        <f t="shared" si="27"/>
        <v>189.87019230769232</v>
      </c>
      <c r="Q182" s="11">
        <f t="shared" si="28"/>
        <v>379.74038461538464</v>
      </c>
      <c r="R182" s="8">
        <v>43272</v>
      </c>
      <c r="S182" s="11">
        <f t="shared" si="29"/>
        <v>49291</v>
      </c>
      <c r="T182" s="20">
        <f>S182/median_percentile!$B$1</f>
        <v>0.97802513963709237</v>
      </c>
      <c r="U182" s="24" t="str" cm="1">
        <f t="array" ref="U182">_xlfn.IFS(T182&lt;1,"underpaid",T182&gt;1,"overpaid",T182=1,"median pay")</f>
        <v>underpaid</v>
      </c>
      <c r="V182" s="5"/>
    </row>
    <row r="183" spans="1:22" x14ac:dyDescent="0.3">
      <c r="A183" s="22" t="s">
        <v>194</v>
      </c>
      <c r="B183" s="12" t="s">
        <v>1193</v>
      </c>
      <c r="C183" s="12" t="s">
        <v>2011</v>
      </c>
      <c r="D183" s="13">
        <v>44956</v>
      </c>
      <c r="E183" s="14">
        <f t="shared" si="20"/>
        <v>329856</v>
      </c>
      <c r="F183" s="12">
        <v>24260</v>
      </c>
      <c r="G183" s="12">
        <v>3228</v>
      </c>
      <c r="H183" s="15">
        <f t="shared" si="21"/>
        <v>12130</v>
      </c>
      <c r="I183" s="15">
        <f t="shared" si="22"/>
        <v>4852</v>
      </c>
      <c r="J183" s="15">
        <f t="shared" si="23"/>
        <v>7278</v>
      </c>
      <c r="K183" s="15">
        <f t="shared" si="24"/>
        <v>1455.6</v>
      </c>
      <c r="L183" s="12">
        <v>200</v>
      </c>
      <c r="M183" s="12">
        <f t="shared" si="25"/>
        <v>208</v>
      </c>
      <c r="N183" s="15">
        <v>5</v>
      </c>
      <c r="O183" s="15">
        <f t="shared" si="26"/>
        <v>58.317307692307693</v>
      </c>
      <c r="P183" s="15">
        <f t="shared" si="27"/>
        <v>116.63461538461539</v>
      </c>
      <c r="Q183" s="15">
        <f t="shared" si="28"/>
        <v>583.17307692307691</v>
      </c>
      <c r="R183" s="12">
        <v>25833</v>
      </c>
      <c r="S183" s="15">
        <f t="shared" si="29"/>
        <v>29061</v>
      </c>
      <c r="T183" s="20">
        <f>S183/median_percentile!$B$1</f>
        <v>0.57662430429477063</v>
      </c>
      <c r="U183" s="24" t="str" cm="1">
        <f t="array" ref="U183">_xlfn.IFS(T183&lt;1,"underpaid",T183&gt;1,"overpaid",T183=1,"median pay")</f>
        <v>underpaid</v>
      </c>
      <c r="V183" s="5"/>
    </row>
    <row r="184" spans="1:22" x14ac:dyDescent="0.3">
      <c r="A184" s="21" t="s">
        <v>195</v>
      </c>
      <c r="B184" s="8" t="s">
        <v>1194</v>
      </c>
      <c r="C184" s="8" t="s">
        <v>2012</v>
      </c>
      <c r="D184" s="9">
        <v>44226</v>
      </c>
      <c r="E184" s="10">
        <f t="shared" si="20"/>
        <v>498228</v>
      </c>
      <c r="F184" s="8">
        <v>36883</v>
      </c>
      <c r="G184" s="8">
        <v>4636</v>
      </c>
      <c r="H184" s="11">
        <f t="shared" si="21"/>
        <v>18441.5</v>
      </c>
      <c r="I184" s="11">
        <f t="shared" si="22"/>
        <v>7376.6</v>
      </c>
      <c r="J184" s="11">
        <f t="shared" si="23"/>
        <v>11064.900000000001</v>
      </c>
      <c r="K184" s="11">
        <f t="shared" si="24"/>
        <v>2212.98</v>
      </c>
      <c r="L184" s="8">
        <v>200</v>
      </c>
      <c r="M184" s="8">
        <f t="shared" si="25"/>
        <v>208</v>
      </c>
      <c r="N184" s="11">
        <v>3</v>
      </c>
      <c r="O184" s="11">
        <f t="shared" si="26"/>
        <v>88.661057692307693</v>
      </c>
      <c r="P184" s="11">
        <f t="shared" si="27"/>
        <v>177.32211538461539</v>
      </c>
      <c r="Q184" s="11">
        <f t="shared" si="28"/>
        <v>531.96634615384619</v>
      </c>
      <c r="R184" s="8">
        <v>39107</v>
      </c>
      <c r="S184" s="11">
        <f t="shared" si="29"/>
        <v>43743</v>
      </c>
      <c r="T184" s="20">
        <f>S184/median_percentile!$B$1</f>
        <v>0.86794249828863956</v>
      </c>
      <c r="U184" s="24" t="str" cm="1">
        <f t="array" ref="U184">_xlfn.IFS(T184&lt;1,"underpaid",T184&gt;1,"overpaid",T184=1,"median pay")</f>
        <v>underpaid</v>
      </c>
      <c r="V184" s="5"/>
    </row>
    <row r="185" spans="1:22" x14ac:dyDescent="0.3">
      <c r="A185" s="22" t="s">
        <v>196</v>
      </c>
      <c r="B185" s="12" t="s">
        <v>1195</v>
      </c>
      <c r="C185" s="12" t="s">
        <v>2014</v>
      </c>
      <c r="D185" s="13">
        <v>46015</v>
      </c>
      <c r="E185" s="14">
        <f t="shared" si="20"/>
        <v>639324</v>
      </c>
      <c r="F185" s="12">
        <v>48135</v>
      </c>
      <c r="G185" s="12">
        <v>5142</v>
      </c>
      <c r="H185" s="15">
        <f t="shared" si="21"/>
        <v>24067.5</v>
      </c>
      <c r="I185" s="15">
        <f t="shared" si="22"/>
        <v>9627</v>
      </c>
      <c r="J185" s="15">
        <f t="shared" si="23"/>
        <v>14440.5</v>
      </c>
      <c r="K185" s="15">
        <f t="shared" si="24"/>
        <v>2888.1</v>
      </c>
      <c r="L185" s="12">
        <v>200</v>
      </c>
      <c r="M185" s="12">
        <f t="shared" si="25"/>
        <v>208</v>
      </c>
      <c r="N185" s="15">
        <v>3</v>
      </c>
      <c r="O185" s="15">
        <f t="shared" si="26"/>
        <v>115.70913461538461</v>
      </c>
      <c r="P185" s="15">
        <f t="shared" si="27"/>
        <v>231.41826923076923</v>
      </c>
      <c r="Q185" s="15">
        <f t="shared" si="28"/>
        <v>694.25480769230762</v>
      </c>
      <c r="R185" s="12">
        <v>50590</v>
      </c>
      <c r="S185" s="15">
        <f t="shared" si="29"/>
        <v>55732</v>
      </c>
      <c r="T185" s="20">
        <f>S185/median_percentile!$B$1</f>
        <v>1.1058265622984811</v>
      </c>
      <c r="U185" s="24" t="str" cm="1">
        <f t="array" ref="U185">_xlfn.IFS(T185&lt;1,"underpaid",T185&gt;1,"overpaid",T185=1,"median pay")</f>
        <v>overpaid</v>
      </c>
      <c r="V185" s="5"/>
    </row>
    <row r="186" spans="1:22" x14ac:dyDescent="0.3">
      <c r="A186" s="21" t="s">
        <v>197</v>
      </c>
      <c r="B186" s="8" t="s">
        <v>1196</v>
      </c>
      <c r="C186" s="8" t="s">
        <v>2016</v>
      </c>
      <c r="D186" s="9">
        <v>44450</v>
      </c>
      <c r="E186" s="10">
        <f t="shared" si="20"/>
        <v>434040</v>
      </c>
      <c r="F186" s="8">
        <v>30746</v>
      </c>
      <c r="G186" s="8">
        <v>5424</v>
      </c>
      <c r="H186" s="11">
        <f t="shared" si="21"/>
        <v>15373</v>
      </c>
      <c r="I186" s="11">
        <f t="shared" si="22"/>
        <v>6149.2000000000007</v>
      </c>
      <c r="J186" s="11">
        <f t="shared" si="23"/>
        <v>9223.7999999999993</v>
      </c>
      <c r="K186" s="11">
        <f t="shared" si="24"/>
        <v>1844.76</v>
      </c>
      <c r="L186" s="8">
        <v>200</v>
      </c>
      <c r="M186" s="8">
        <f t="shared" si="25"/>
        <v>208</v>
      </c>
      <c r="N186" s="11">
        <v>2</v>
      </c>
      <c r="O186" s="11">
        <f t="shared" si="26"/>
        <v>73.90865384615384</v>
      </c>
      <c r="P186" s="11">
        <f t="shared" si="27"/>
        <v>147.81730769230768</v>
      </c>
      <c r="Q186" s="11">
        <f t="shared" si="28"/>
        <v>295.63461538461536</v>
      </c>
      <c r="R186" s="8">
        <v>34126</v>
      </c>
      <c r="S186" s="11">
        <f t="shared" si="29"/>
        <v>39550</v>
      </c>
      <c r="T186" s="20">
        <f>S186/median_percentile!$B$1</f>
        <v>0.78474557774536946</v>
      </c>
      <c r="U186" s="24" t="str" cm="1">
        <f t="array" ref="U186">_xlfn.IFS(T186&lt;1,"underpaid",T186&gt;1,"overpaid",T186=1,"median pay")</f>
        <v>underpaid</v>
      </c>
      <c r="V186" s="5"/>
    </row>
    <row r="187" spans="1:22" x14ac:dyDescent="0.3">
      <c r="A187" s="22" t="s">
        <v>198</v>
      </c>
      <c r="B187" s="12" t="s">
        <v>1197</v>
      </c>
      <c r="C187" s="12" t="s">
        <v>2011</v>
      </c>
      <c r="D187" s="13">
        <v>43988</v>
      </c>
      <c r="E187" s="14">
        <f t="shared" si="20"/>
        <v>327684</v>
      </c>
      <c r="F187" s="12">
        <v>24510</v>
      </c>
      <c r="G187" s="12">
        <v>2797</v>
      </c>
      <c r="H187" s="15">
        <f t="shared" si="21"/>
        <v>12255</v>
      </c>
      <c r="I187" s="15">
        <f t="shared" si="22"/>
        <v>4902</v>
      </c>
      <c r="J187" s="15">
        <f t="shared" si="23"/>
        <v>7353</v>
      </c>
      <c r="K187" s="15">
        <f t="shared" si="24"/>
        <v>1470.6</v>
      </c>
      <c r="L187" s="12">
        <v>200</v>
      </c>
      <c r="M187" s="12">
        <f t="shared" si="25"/>
        <v>208</v>
      </c>
      <c r="N187" s="15">
        <v>2</v>
      </c>
      <c r="O187" s="15">
        <f t="shared" si="26"/>
        <v>58.918269230769234</v>
      </c>
      <c r="P187" s="15">
        <f t="shared" si="27"/>
        <v>117.83653846153847</v>
      </c>
      <c r="Q187" s="15">
        <f t="shared" si="28"/>
        <v>235.67307692307693</v>
      </c>
      <c r="R187" s="12">
        <v>26045</v>
      </c>
      <c r="S187" s="15">
        <f t="shared" si="29"/>
        <v>28842</v>
      </c>
      <c r="T187" s="20">
        <f>S187/median_percentile!$B$1</f>
        <v>0.57227893687312126</v>
      </c>
      <c r="U187" s="24" t="str" cm="1">
        <f t="array" ref="U187">_xlfn.IFS(T187&lt;1,"underpaid",T187&gt;1,"overpaid",T187=1,"median pay")</f>
        <v>underpaid</v>
      </c>
      <c r="V187" s="5"/>
    </row>
    <row r="188" spans="1:22" x14ac:dyDescent="0.3">
      <c r="A188" s="21" t="s">
        <v>199</v>
      </c>
      <c r="B188" s="8" t="s">
        <v>1198</v>
      </c>
      <c r="C188" s="8" t="s">
        <v>2012</v>
      </c>
      <c r="D188" s="9">
        <v>43968</v>
      </c>
      <c r="E188" s="10">
        <f t="shared" si="20"/>
        <v>334032</v>
      </c>
      <c r="F188" s="8">
        <v>25121</v>
      </c>
      <c r="G188" s="8">
        <v>2715</v>
      </c>
      <c r="H188" s="11">
        <f t="shared" si="21"/>
        <v>12560.5</v>
      </c>
      <c r="I188" s="11">
        <f t="shared" si="22"/>
        <v>5024.2000000000007</v>
      </c>
      <c r="J188" s="11">
        <f t="shared" si="23"/>
        <v>7536.2999999999993</v>
      </c>
      <c r="K188" s="11">
        <f t="shared" si="24"/>
        <v>1507.26</v>
      </c>
      <c r="L188" s="8">
        <v>200</v>
      </c>
      <c r="M188" s="8">
        <f t="shared" si="25"/>
        <v>208</v>
      </c>
      <c r="N188" s="11">
        <v>2</v>
      </c>
      <c r="O188" s="11">
        <f t="shared" si="26"/>
        <v>60.387019230769234</v>
      </c>
      <c r="P188" s="11">
        <f t="shared" si="27"/>
        <v>120.77403846153847</v>
      </c>
      <c r="Q188" s="11">
        <f t="shared" si="28"/>
        <v>241.54807692307693</v>
      </c>
      <c r="R188" s="8">
        <v>26129</v>
      </c>
      <c r="S188" s="11">
        <f t="shared" si="29"/>
        <v>28844</v>
      </c>
      <c r="T188" s="20">
        <f>S188/median_percentile!$B$1</f>
        <v>0.57231862059386684</v>
      </c>
      <c r="U188" s="24" t="str" cm="1">
        <f t="array" ref="U188">_xlfn.IFS(T188&lt;1,"underpaid",T188&gt;1,"overpaid",T188=1,"median pay")</f>
        <v>underpaid</v>
      </c>
      <c r="V188" s="5"/>
    </row>
    <row r="189" spans="1:22" x14ac:dyDescent="0.3">
      <c r="A189" s="22" t="s">
        <v>200</v>
      </c>
      <c r="B189" s="12" t="s">
        <v>1199</v>
      </c>
      <c r="C189" s="12" t="s">
        <v>2011</v>
      </c>
      <c r="D189" s="13">
        <v>43549</v>
      </c>
      <c r="E189" s="14">
        <f t="shared" si="20"/>
        <v>325164</v>
      </c>
      <c r="F189" s="12">
        <v>24128</v>
      </c>
      <c r="G189" s="12">
        <v>2969</v>
      </c>
      <c r="H189" s="15">
        <f t="shared" si="21"/>
        <v>12064</v>
      </c>
      <c r="I189" s="15">
        <f t="shared" si="22"/>
        <v>4825.6000000000004</v>
      </c>
      <c r="J189" s="15">
        <f t="shared" si="23"/>
        <v>7238.4000000000015</v>
      </c>
      <c r="K189" s="15">
        <f t="shared" si="24"/>
        <v>1447.6799999999998</v>
      </c>
      <c r="L189" s="12">
        <v>200</v>
      </c>
      <c r="M189" s="12">
        <f t="shared" si="25"/>
        <v>208</v>
      </c>
      <c r="N189" s="15">
        <v>5</v>
      </c>
      <c r="O189" s="15">
        <f t="shared" si="26"/>
        <v>58</v>
      </c>
      <c r="P189" s="15">
        <f t="shared" si="27"/>
        <v>116</v>
      </c>
      <c r="Q189" s="15">
        <f t="shared" si="28"/>
        <v>580</v>
      </c>
      <c r="R189" s="12">
        <v>25450</v>
      </c>
      <c r="S189" s="15">
        <f t="shared" si="29"/>
        <v>28419</v>
      </c>
      <c r="T189" s="20">
        <f>S189/median_percentile!$B$1</f>
        <v>0.5638858299354147</v>
      </c>
      <c r="U189" s="24" t="str" cm="1">
        <f t="array" ref="U189">_xlfn.IFS(T189&lt;1,"underpaid",T189&gt;1,"overpaid",T189=1,"median pay")</f>
        <v>underpaid</v>
      </c>
      <c r="V189" s="5"/>
    </row>
    <row r="190" spans="1:22" x14ac:dyDescent="0.3">
      <c r="A190" s="21" t="s">
        <v>201</v>
      </c>
      <c r="B190" s="8" t="s">
        <v>1200</v>
      </c>
      <c r="C190" s="8" t="s">
        <v>2015</v>
      </c>
      <c r="D190" s="9">
        <v>44793</v>
      </c>
      <c r="E190" s="10">
        <f t="shared" si="20"/>
        <v>657924</v>
      </c>
      <c r="F190" s="8">
        <v>46131</v>
      </c>
      <c r="G190" s="8">
        <v>8696</v>
      </c>
      <c r="H190" s="11">
        <f t="shared" si="21"/>
        <v>23065.5</v>
      </c>
      <c r="I190" s="11">
        <f t="shared" si="22"/>
        <v>9226.2000000000007</v>
      </c>
      <c r="J190" s="11">
        <f t="shared" si="23"/>
        <v>13839.3</v>
      </c>
      <c r="K190" s="11">
        <f t="shared" si="24"/>
        <v>2767.8599999999997</v>
      </c>
      <c r="L190" s="8">
        <v>200</v>
      </c>
      <c r="M190" s="8">
        <f t="shared" si="25"/>
        <v>208</v>
      </c>
      <c r="N190" s="11">
        <v>5</v>
      </c>
      <c r="O190" s="11">
        <f t="shared" si="26"/>
        <v>110.89182692307692</v>
      </c>
      <c r="P190" s="11">
        <f t="shared" si="27"/>
        <v>221.78365384615384</v>
      </c>
      <c r="Q190" s="11">
        <f t="shared" si="28"/>
        <v>1108.9182692307693</v>
      </c>
      <c r="R190" s="8">
        <v>51860</v>
      </c>
      <c r="S190" s="11">
        <f t="shared" si="29"/>
        <v>60556</v>
      </c>
      <c r="T190" s="20">
        <f>S190/median_percentile!$B$1</f>
        <v>1.2015436967370061</v>
      </c>
      <c r="U190" s="24" t="str" cm="1">
        <f t="array" ref="U190">_xlfn.IFS(T190&lt;1,"underpaid",T190&gt;1,"overpaid",T190=1,"median pay")</f>
        <v>overpaid</v>
      </c>
      <c r="V190" s="5"/>
    </row>
    <row r="191" spans="1:22" x14ac:dyDescent="0.3">
      <c r="A191" s="22" t="s">
        <v>202</v>
      </c>
      <c r="B191" s="12" t="s">
        <v>1201</v>
      </c>
      <c r="C191" s="12" t="s">
        <v>2016</v>
      </c>
      <c r="D191" s="13">
        <v>45204</v>
      </c>
      <c r="E191" s="14">
        <f t="shared" si="20"/>
        <v>510540</v>
      </c>
      <c r="F191" s="12">
        <v>36916</v>
      </c>
      <c r="G191" s="12">
        <v>5629</v>
      </c>
      <c r="H191" s="15">
        <f t="shared" si="21"/>
        <v>18458</v>
      </c>
      <c r="I191" s="15">
        <f t="shared" si="22"/>
        <v>7383.2000000000007</v>
      </c>
      <c r="J191" s="15">
        <f t="shared" si="23"/>
        <v>11074.8</v>
      </c>
      <c r="K191" s="15">
        <f t="shared" si="24"/>
        <v>2214.96</v>
      </c>
      <c r="L191" s="12">
        <v>200</v>
      </c>
      <c r="M191" s="12">
        <f t="shared" si="25"/>
        <v>208</v>
      </c>
      <c r="N191" s="15">
        <v>2</v>
      </c>
      <c r="O191" s="15">
        <f t="shared" si="26"/>
        <v>88.740384615384613</v>
      </c>
      <c r="P191" s="15">
        <f t="shared" si="27"/>
        <v>177.48076923076923</v>
      </c>
      <c r="Q191" s="15">
        <f t="shared" si="28"/>
        <v>354.96153846153845</v>
      </c>
      <c r="R191" s="12">
        <v>40131</v>
      </c>
      <c r="S191" s="15">
        <f t="shared" si="29"/>
        <v>45760</v>
      </c>
      <c r="T191" s="20">
        <f>S191/median_percentile!$B$1</f>
        <v>0.90796353066063473</v>
      </c>
      <c r="U191" s="24" t="str" cm="1">
        <f t="array" ref="U191">_xlfn.IFS(T191&lt;1,"underpaid",T191&gt;1,"overpaid",T191=1,"median pay")</f>
        <v>underpaid</v>
      </c>
      <c r="V191" s="5"/>
    </row>
    <row r="192" spans="1:22" x14ac:dyDescent="0.3">
      <c r="A192" s="21" t="s">
        <v>203</v>
      </c>
      <c r="B192" s="8" t="s">
        <v>1202</v>
      </c>
      <c r="C192" s="8" t="s">
        <v>2012</v>
      </c>
      <c r="D192" s="9">
        <v>43928</v>
      </c>
      <c r="E192" s="10">
        <f t="shared" si="20"/>
        <v>532344</v>
      </c>
      <c r="F192" s="8">
        <v>39840</v>
      </c>
      <c r="G192" s="8">
        <v>4522</v>
      </c>
      <c r="H192" s="11">
        <f t="shared" si="21"/>
        <v>19920</v>
      </c>
      <c r="I192" s="11">
        <f t="shared" si="22"/>
        <v>7968</v>
      </c>
      <c r="J192" s="11">
        <f t="shared" si="23"/>
        <v>11952</v>
      </c>
      <c r="K192" s="11">
        <f t="shared" si="24"/>
        <v>2390.4</v>
      </c>
      <c r="L192" s="8">
        <v>200</v>
      </c>
      <c r="M192" s="8">
        <f t="shared" si="25"/>
        <v>208</v>
      </c>
      <c r="N192" s="11">
        <v>1</v>
      </c>
      <c r="O192" s="11">
        <f t="shared" si="26"/>
        <v>95.769230769230774</v>
      </c>
      <c r="P192" s="11">
        <f t="shared" si="27"/>
        <v>191.53846153846155</v>
      </c>
      <c r="Q192" s="11">
        <f t="shared" si="28"/>
        <v>191.53846153846155</v>
      </c>
      <c r="R192" s="8">
        <v>42436</v>
      </c>
      <c r="S192" s="11">
        <f t="shared" si="29"/>
        <v>46958</v>
      </c>
      <c r="T192" s="20">
        <f>S192/median_percentile!$B$1</f>
        <v>0.93173407938728336</v>
      </c>
      <c r="U192" s="24" t="str" cm="1">
        <f t="array" ref="U192">_xlfn.IFS(T192&lt;1,"underpaid",T192&gt;1,"overpaid",T192=1,"median pay")</f>
        <v>underpaid</v>
      </c>
      <c r="V192" s="5"/>
    </row>
    <row r="193" spans="1:22" x14ac:dyDescent="0.3">
      <c r="A193" s="22" t="s">
        <v>204</v>
      </c>
      <c r="B193" s="12" t="s">
        <v>1203</v>
      </c>
      <c r="C193" s="12" t="s">
        <v>2015</v>
      </c>
      <c r="D193" s="13">
        <v>45958</v>
      </c>
      <c r="E193" s="14">
        <f t="shared" si="20"/>
        <v>407484</v>
      </c>
      <c r="F193" s="12">
        <v>29230</v>
      </c>
      <c r="G193" s="12">
        <v>4727</v>
      </c>
      <c r="H193" s="15">
        <f t="shared" si="21"/>
        <v>14615</v>
      </c>
      <c r="I193" s="15">
        <f t="shared" si="22"/>
        <v>5846</v>
      </c>
      <c r="J193" s="15">
        <f t="shared" si="23"/>
        <v>8769</v>
      </c>
      <c r="K193" s="15">
        <f t="shared" si="24"/>
        <v>1753.8</v>
      </c>
      <c r="L193" s="12">
        <v>200</v>
      </c>
      <c r="M193" s="12">
        <f t="shared" si="25"/>
        <v>208</v>
      </c>
      <c r="N193" s="15">
        <v>3</v>
      </c>
      <c r="O193" s="15">
        <f t="shared" si="26"/>
        <v>70.26442307692308</v>
      </c>
      <c r="P193" s="15">
        <f t="shared" si="27"/>
        <v>140.52884615384616</v>
      </c>
      <c r="Q193" s="15">
        <f t="shared" si="28"/>
        <v>421.58653846153845</v>
      </c>
      <c r="R193" s="12">
        <v>32004</v>
      </c>
      <c r="S193" s="15">
        <f t="shared" si="29"/>
        <v>36731</v>
      </c>
      <c r="T193" s="20">
        <f>S193/median_percentile!$B$1</f>
        <v>0.72881137335436574</v>
      </c>
      <c r="U193" s="24" t="str" cm="1">
        <f t="array" ref="U193">_xlfn.IFS(T193&lt;1,"underpaid",T193&gt;1,"overpaid",T193=1,"median pay")</f>
        <v>underpaid</v>
      </c>
      <c r="V193" s="5"/>
    </row>
    <row r="194" spans="1:22" x14ac:dyDescent="0.3">
      <c r="A194" s="21" t="s">
        <v>205</v>
      </c>
      <c r="B194" s="8" t="s">
        <v>1204</v>
      </c>
      <c r="C194" s="8" t="s">
        <v>2011</v>
      </c>
      <c r="D194" s="9">
        <v>44031</v>
      </c>
      <c r="E194" s="10">
        <f t="shared" ref="E194:E257" si="30">(F194*12)+(G194*12)</f>
        <v>513408</v>
      </c>
      <c r="F194" s="8">
        <v>37138</v>
      </c>
      <c r="G194" s="8">
        <v>5646</v>
      </c>
      <c r="H194" s="11">
        <f t="shared" ref="H194:H257" si="31">F194*50%</f>
        <v>18569</v>
      </c>
      <c r="I194" s="11">
        <f t="shared" ref="I194:I257" si="32">H194*40%</f>
        <v>7427.6</v>
      </c>
      <c r="J194" s="11">
        <f t="shared" ref="J194:J257" si="33">F194-(H194+I194)</f>
        <v>11141.400000000001</v>
      </c>
      <c r="K194" s="11">
        <f t="shared" ref="K194:K257" si="34">H194*12%</f>
        <v>2228.2799999999997</v>
      </c>
      <c r="L194" s="8">
        <v>200</v>
      </c>
      <c r="M194" s="8">
        <f t="shared" si="25"/>
        <v>208</v>
      </c>
      <c r="N194" s="11">
        <v>3</v>
      </c>
      <c r="O194" s="11">
        <f t="shared" si="26"/>
        <v>89.274038461538467</v>
      </c>
      <c r="P194" s="11">
        <f t="shared" si="27"/>
        <v>178.54807692307693</v>
      </c>
      <c r="Q194" s="11">
        <f t="shared" si="28"/>
        <v>535.64423076923083</v>
      </c>
      <c r="R194" s="8">
        <v>40356</v>
      </c>
      <c r="S194" s="11">
        <f t="shared" si="29"/>
        <v>46002</v>
      </c>
      <c r="T194" s="20">
        <f>S194/median_percentile!$B$1</f>
        <v>0.9127652608708593</v>
      </c>
      <c r="U194" s="24" t="str" cm="1">
        <f t="array" ref="U194">_xlfn.IFS(T194&lt;1,"underpaid",T194&gt;1,"overpaid",T194=1,"median pay")</f>
        <v>underpaid</v>
      </c>
      <c r="V194" s="5"/>
    </row>
    <row r="195" spans="1:22" x14ac:dyDescent="0.3">
      <c r="A195" s="22" t="s">
        <v>206</v>
      </c>
      <c r="B195" s="12" t="s">
        <v>1205</v>
      </c>
      <c r="C195" s="12" t="s">
        <v>2015</v>
      </c>
      <c r="D195" s="13">
        <v>44767</v>
      </c>
      <c r="E195" s="14">
        <f t="shared" si="30"/>
        <v>664968</v>
      </c>
      <c r="F195" s="12">
        <v>48636</v>
      </c>
      <c r="G195" s="12">
        <v>6778</v>
      </c>
      <c r="H195" s="15">
        <f t="shared" si="31"/>
        <v>24318</v>
      </c>
      <c r="I195" s="15">
        <f t="shared" si="32"/>
        <v>9727.2000000000007</v>
      </c>
      <c r="J195" s="15">
        <f t="shared" si="33"/>
        <v>14590.800000000003</v>
      </c>
      <c r="K195" s="15">
        <f t="shared" si="34"/>
        <v>2918.16</v>
      </c>
      <c r="L195" s="12">
        <v>200</v>
      </c>
      <c r="M195" s="12">
        <f t="shared" ref="M195:M258" si="35">8*26</f>
        <v>208</v>
      </c>
      <c r="N195" s="15">
        <v>5</v>
      </c>
      <c r="O195" s="15">
        <f t="shared" ref="O195:O258" si="36">H195/M195</f>
        <v>116.91346153846153</v>
      </c>
      <c r="P195" s="15">
        <f t="shared" ref="P195:P258" si="37">O195*2</f>
        <v>233.82692307692307</v>
      </c>
      <c r="Q195" s="15">
        <f t="shared" ref="Q195:Q258" si="38">P195*N195</f>
        <v>1169.1346153846152</v>
      </c>
      <c r="R195" s="12">
        <v>53106</v>
      </c>
      <c r="S195" s="15">
        <f t="shared" ref="S195:T258" si="39">R195+G195</f>
        <v>59884</v>
      </c>
      <c r="T195" s="20">
        <f>S195/median_percentile!$B$1</f>
        <v>1.1882099665664654</v>
      </c>
      <c r="U195" s="24" t="str" cm="1">
        <f t="array" ref="U195">_xlfn.IFS(T195&lt;1,"underpaid",T195&gt;1,"overpaid",T195=1,"median pay")</f>
        <v>overpaid</v>
      </c>
      <c r="V195" s="5"/>
    </row>
    <row r="196" spans="1:22" x14ac:dyDescent="0.3">
      <c r="A196" s="21" t="s">
        <v>207</v>
      </c>
      <c r="B196" s="8" t="s">
        <v>1206</v>
      </c>
      <c r="C196" s="8" t="s">
        <v>2016</v>
      </c>
      <c r="D196" s="9">
        <v>43926</v>
      </c>
      <c r="E196" s="10">
        <f t="shared" si="30"/>
        <v>533004</v>
      </c>
      <c r="F196" s="8">
        <v>39943</v>
      </c>
      <c r="G196" s="8">
        <v>4474</v>
      </c>
      <c r="H196" s="11">
        <f t="shared" si="31"/>
        <v>19971.5</v>
      </c>
      <c r="I196" s="11">
        <f t="shared" si="32"/>
        <v>7988.6</v>
      </c>
      <c r="J196" s="11">
        <f t="shared" si="33"/>
        <v>11982.900000000001</v>
      </c>
      <c r="K196" s="11">
        <f t="shared" si="34"/>
        <v>2396.58</v>
      </c>
      <c r="L196" s="8">
        <v>200</v>
      </c>
      <c r="M196" s="8">
        <f t="shared" si="35"/>
        <v>208</v>
      </c>
      <c r="N196" s="11">
        <v>1</v>
      </c>
      <c r="O196" s="11">
        <f t="shared" si="36"/>
        <v>96.01682692307692</v>
      </c>
      <c r="P196" s="11">
        <f t="shared" si="37"/>
        <v>192.03365384615384</v>
      </c>
      <c r="Q196" s="11">
        <f t="shared" si="38"/>
        <v>192.03365384615384</v>
      </c>
      <c r="R196" s="8">
        <v>41821</v>
      </c>
      <c r="S196" s="11">
        <f t="shared" si="39"/>
        <v>46295</v>
      </c>
      <c r="T196" s="20">
        <f>S196/median_percentile!$B$1</f>
        <v>0.91857892596009805</v>
      </c>
      <c r="U196" s="24" t="str" cm="1">
        <f t="array" ref="U196">_xlfn.IFS(T196&lt;1,"underpaid",T196&gt;1,"overpaid",T196=1,"median pay")</f>
        <v>underpaid</v>
      </c>
      <c r="V196" s="5"/>
    </row>
    <row r="197" spans="1:22" x14ac:dyDescent="0.3">
      <c r="A197" s="22" t="s">
        <v>208</v>
      </c>
      <c r="B197" s="12" t="s">
        <v>1207</v>
      </c>
      <c r="C197" s="12" t="s">
        <v>2013</v>
      </c>
      <c r="D197" s="13">
        <v>43689</v>
      </c>
      <c r="E197" s="14">
        <f t="shared" si="30"/>
        <v>617004</v>
      </c>
      <c r="F197" s="12">
        <v>45668</v>
      </c>
      <c r="G197" s="12">
        <v>5749</v>
      </c>
      <c r="H197" s="15">
        <f t="shared" si="31"/>
        <v>22834</v>
      </c>
      <c r="I197" s="15">
        <f t="shared" si="32"/>
        <v>9133.6</v>
      </c>
      <c r="J197" s="15">
        <f t="shared" si="33"/>
        <v>13700.400000000001</v>
      </c>
      <c r="K197" s="15">
        <f t="shared" si="34"/>
        <v>2740.08</v>
      </c>
      <c r="L197" s="12">
        <v>200</v>
      </c>
      <c r="M197" s="12">
        <f t="shared" si="35"/>
        <v>208</v>
      </c>
      <c r="N197" s="15">
        <v>0</v>
      </c>
      <c r="O197" s="15">
        <f t="shared" si="36"/>
        <v>109.77884615384616</v>
      </c>
      <c r="P197" s="15">
        <f t="shared" si="37"/>
        <v>219.55769230769232</v>
      </c>
      <c r="Q197" s="15">
        <f t="shared" si="38"/>
        <v>0</v>
      </c>
      <c r="R197" s="12">
        <v>48477</v>
      </c>
      <c r="S197" s="15">
        <f t="shared" si="39"/>
        <v>54226</v>
      </c>
      <c r="T197" s="20">
        <f>S197/median_percentile!$B$1</f>
        <v>1.0759447205770012</v>
      </c>
      <c r="U197" s="24" t="str" cm="1">
        <f t="array" ref="U197">_xlfn.IFS(T197&lt;1,"underpaid",T197&gt;1,"overpaid",T197=1,"median pay")</f>
        <v>overpaid</v>
      </c>
      <c r="V197" s="5"/>
    </row>
    <row r="198" spans="1:22" x14ac:dyDescent="0.3">
      <c r="A198" s="21" t="s">
        <v>209</v>
      </c>
      <c r="B198" s="8" t="s">
        <v>1208</v>
      </c>
      <c r="C198" s="8" t="s">
        <v>2011</v>
      </c>
      <c r="D198" s="9">
        <v>43931</v>
      </c>
      <c r="E198" s="10">
        <f t="shared" si="30"/>
        <v>563220</v>
      </c>
      <c r="F198" s="8">
        <v>42331</v>
      </c>
      <c r="G198" s="8">
        <v>4604</v>
      </c>
      <c r="H198" s="11">
        <f t="shared" si="31"/>
        <v>21165.5</v>
      </c>
      <c r="I198" s="11">
        <f t="shared" si="32"/>
        <v>8466.2000000000007</v>
      </c>
      <c r="J198" s="11">
        <f t="shared" si="33"/>
        <v>12699.3</v>
      </c>
      <c r="K198" s="11">
        <f t="shared" si="34"/>
        <v>2539.86</v>
      </c>
      <c r="L198" s="8">
        <v>200</v>
      </c>
      <c r="M198" s="8">
        <f t="shared" si="35"/>
        <v>208</v>
      </c>
      <c r="N198" s="11">
        <v>4</v>
      </c>
      <c r="O198" s="11">
        <f t="shared" si="36"/>
        <v>101.75721153846153</v>
      </c>
      <c r="P198" s="11">
        <f t="shared" si="37"/>
        <v>203.51442307692307</v>
      </c>
      <c r="Q198" s="11">
        <f t="shared" si="38"/>
        <v>814.05769230769226</v>
      </c>
      <c r="R198" s="8">
        <v>44196</v>
      </c>
      <c r="S198" s="11">
        <f t="shared" si="39"/>
        <v>48800</v>
      </c>
      <c r="T198" s="20">
        <f>S198/median_percentile!$B$1</f>
        <v>0.96828278619403352</v>
      </c>
      <c r="U198" s="24" t="str" cm="1">
        <f t="array" ref="U198">_xlfn.IFS(T198&lt;1,"underpaid",T198&gt;1,"overpaid",T198=1,"median pay")</f>
        <v>underpaid</v>
      </c>
      <c r="V198" s="5"/>
    </row>
    <row r="199" spans="1:22" x14ac:dyDescent="0.3">
      <c r="A199" s="22" t="s">
        <v>210</v>
      </c>
      <c r="B199" s="12" t="s">
        <v>1209</v>
      </c>
      <c r="C199" s="12" t="s">
        <v>2013</v>
      </c>
      <c r="D199" s="13">
        <v>44357</v>
      </c>
      <c r="E199" s="14">
        <f t="shared" si="30"/>
        <v>871692</v>
      </c>
      <c r="F199" s="12">
        <v>62298</v>
      </c>
      <c r="G199" s="12">
        <v>10343</v>
      </c>
      <c r="H199" s="15">
        <f t="shared" si="31"/>
        <v>31149</v>
      </c>
      <c r="I199" s="15">
        <f t="shared" si="32"/>
        <v>12459.6</v>
      </c>
      <c r="J199" s="15">
        <f t="shared" si="33"/>
        <v>18689.400000000001</v>
      </c>
      <c r="K199" s="15">
        <f t="shared" si="34"/>
        <v>3737.8799999999997</v>
      </c>
      <c r="L199" s="12">
        <v>200</v>
      </c>
      <c r="M199" s="12">
        <f t="shared" si="35"/>
        <v>208</v>
      </c>
      <c r="N199" s="15">
        <v>5</v>
      </c>
      <c r="O199" s="15">
        <f t="shared" si="36"/>
        <v>149.75480769230768</v>
      </c>
      <c r="P199" s="15">
        <f t="shared" si="37"/>
        <v>299.50961538461536</v>
      </c>
      <c r="Q199" s="15">
        <f t="shared" si="38"/>
        <v>1497.5480769230767</v>
      </c>
      <c r="R199" s="12">
        <v>69223</v>
      </c>
      <c r="S199" s="15">
        <f t="shared" si="39"/>
        <v>79566</v>
      </c>
      <c r="T199" s="20">
        <f>S199/median_percentile!$B$1</f>
        <v>1.578737462424477</v>
      </c>
      <c r="U199" s="24" t="str" cm="1">
        <f t="array" ref="U199">_xlfn.IFS(T199&lt;1,"underpaid",T199&gt;1,"overpaid",T199=1,"median pay")</f>
        <v>overpaid</v>
      </c>
      <c r="V199" s="5"/>
    </row>
    <row r="200" spans="1:22" x14ac:dyDescent="0.3">
      <c r="A200" s="21" t="s">
        <v>211</v>
      </c>
      <c r="B200" s="8" t="s">
        <v>1210</v>
      </c>
      <c r="C200" s="8" t="s">
        <v>2013</v>
      </c>
      <c r="D200" s="9">
        <v>44111</v>
      </c>
      <c r="E200" s="10">
        <f t="shared" si="30"/>
        <v>815436</v>
      </c>
      <c r="F200" s="8">
        <v>58941</v>
      </c>
      <c r="G200" s="8">
        <v>9012</v>
      </c>
      <c r="H200" s="11">
        <f t="shared" si="31"/>
        <v>29470.5</v>
      </c>
      <c r="I200" s="11">
        <f t="shared" si="32"/>
        <v>11788.2</v>
      </c>
      <c r="J200" s="11">
        <f t="shared" si="33"/>
        <v>17682.300000000003</v>
      </c>
      <c r="K200" s="11">
        <f t="shared" si="34"/>
        <v>3536.46</v>
      </c>
      <c r="L200" s="8">
        <v>200</v>
      </c>
      <c r="M200" s="8">
        <f t="shared" si="35"/>
        <v>208</v>
      </c>
      <c r="N200" s="11">
        <v>3</v>
      </c>
      <c r="O200" s="11">
        <f t="shared" si="36"/>
        <v>141.68509615384616</v>
      </c>
      <c r="P200" s="11">
        <f t="shared" si="37"/>
        <v>283.37019230769232</v>
      </c>
      <c r="Q200" s="11">
        <f t="shared" si="38"/>
        <v>850.11057692307691</v>
      </c>
      <c r="R200" s="8">
        <v>65199</v>
      </c>
      <c r="S200" s="11">
        <f t="shared" si="39"/>
        <v>74211</v>
      </c>
      <c r="T200" s="20">
        <f>S200/median_percentile!$B$1</f>
        <v>1.4724843001279799</v>
      </c>
      <c r="U200" s="24" t="str" cm="1">
        <f t="array" ref="U200">_xlfn.IFS(T200&lt;1,"underpaid",T200&gt;1,"overpaid",T200=1,"median pay")</f>
        <v>overpaid</v>
      </c>
      <c r="V200" s="5"/>
    </row>
    <row r="201" spans="1:22" x14ac:dyDescent="0.3">
      <c r="A201" s="22" t="s">
        <v>212</v>
      </c>
      <c r="B201" s="12" t="s">
        <v>1211</v>
      </c>
      <c r="C201" s="12" t="s">
        <v>2014</v>
      </c>
      <c r="D201" s="13">
        <v>44741</v>
      </c>
      <c r="E201" s="14">
        <f t="shared" si="30"/>
        <v>837456</v>
      </c>
      <c r="F201" s="12">
        <v>58200</v>
      </c>
      <c r="G201" s="12">
        <v>11588</v>
      </c>
      <c r="H201" s="15">
        <f t="shared" si="31"/>
        <v>29100</v>
      </c>
      <c r="I201" s="15">
        <f t="shared" si="32"/>
        <v>11640</v>
      </c>
      <c r="J201" s="15">
        <f t="shared" si="33"/>
        <v>17460</v>
      </c>
      <c r="K201" s="15">
        <f t="shared" si="34"/>
        <v>3492</v>
      </c>
      <c r="L201" s="12">
        <v>200</v>
      </c>
      <c r="M201" s="12">
        <f t="shared" si="35"/>
        <v>208</v>
      </c>
      <c r="N201" s="15">
        <v>4</v>
      </c>
      <c r="O201" s="15">
        <f t="shared" si="36"/>
        <v>139.90384615384616</v>
      </c>
      <c r="P201" s="15">
        <f t="shared" si="37"/>
        <v>279.80769230769232</v>
      </c>
      <c r="Q201" s="15">
        <f t="shared" si="38"/>
        <v>1119.2307692307693</v>
      </c>
      <c r="R201" s="12">
        <v>67066</v>
      </c>
      <c r="S201" s="15">
        <f t="shared" si="39"/>
        <v>78654</v>
      </c>
      <c r="T201" s="20">
        <f>S201/median_percentile!$B$1</f>
        <v>1.5606416857644572</v>
      </c>
      <c r="U201" s="24" t="str" cm="1">
        <f t="array" ref="U201">_xlfn.IFS(T201&lt;1,"underpaid",T201&gt;1,"overpaid",T201=1,"median pay")</f>
        <v>overpaid</v>
      </c>
      <c r="V201" s="5"/>
    </row>
    <row r="202" spans="1:22" x14ac:dyDescent="0.3">
      <c r="A202" s="21" t="s">
        <v>213</v>
      </c>
      <c r="B202" s="8" t="s">
        <v>1212</v>
      </c>
      <c r="C202" s="8" t="s">
        <v>2014</v>
      </c>
      <c r="D202" s="9">
        <v>45234</v>
      </c>
      <c r="E202" s="10">
        <f t="shared" si="30"/>
        <v>957312</v>
      </c>
      <c r="F202" s="8">
        <v>68924</v>
      </c>
      <c r="G202" s="8">
        <v>10852</v>
      </c>
      <c r="H202" s="11">
        <f t="shared" si="31"/>
        <v>34462</v>
      </c>
      <c r="I202" s="11">
        <f t="shared" si="32"/>
        <v>13784.800000000001</v>
      </c>
      <c r="J202" s="11">
        <f t="shared" si="33"/>
        <v>20677.199999999997</v>
      </c>
      <c r="K202" s="11">
        <f t="shared" si="34"/>
        <v>4135.4399999999996</v>
      </c>
      <c r="L202" s="8">
        <v>200</v>
      </c>
      <c r="M202" s="8">
        <f t="shared" si="35"/>
        <v>208</v>
      </c>
      <c r="N202" s="11">
        <v>5</v>
      </c>
      <c r="O202" s="11">
        <f t="shared" si="36"/>
        <v>165.68269230769232</v>
      </c>
      <c r="P202" s="11">
        <f t="shared" si="37"/>
        <v>331.36538461538464</v>
      </c>
      <c r="Q202" s="11">
        <f t="shared" si="38"/>
        <v>1656.8269230769233</v>
      </c>
      <c r="R202" s="8">
        <v>75441</v>
      </c>
      <c r="S202" s="11">
        <f t="shared" si="39"/>
        <v>86293</v>
      </c>
      <c r="T202" s="20">
        <f>S202/median_percentile!$B$1</f>
        <v>1.7122136571524946</v>
      </c>
      <c r="U202" s="24" t="str" cm="1">
        <f t="array" ref="U202">_xlfn.IFS(T202&lt;1,"underpaid",T202&gt;1,"overpaid",T202=1,"median pay")</f>
        <v>overpaid</v>
      </c>
      <c r="V202" s="5"/>
    </row>
    <row r="203" spans="1:22" x14ac:dyDescent="0.3">
      <c r="A203" s="22" t="s">
        <v>214</v>
      </c>
      <c r="B203" s="12" t="s">
        <v>1213</v>
      </c>
      <c r="C203" s="12" t="s">
        <v>2012</v>
      </c>
      <c r="D203" s="13">
        <v>45904</v>
      </c>
      <c r="E203" s="14">
        <f t="shared" si="30"/>
        <v>434460</v>
      </c>
      <c r="F203" s="12">
        <v>32835</v>
      </c>
      <c r="G203" s="12">
        <v>3370</v>
      </c>
      <c r="H203" s="15">
        <f t="shared" si="31"/>
        <v>16417.5</v>
      </c>
      <c r="I203" s="15">
        <f t="shared" si="32"/>
        <v>6567</v>
      </c>
      <c r="J203" s="15">
        <f t="shared" si="33"/>
        <v>9850.5</v>
      </c>
      <c r="K203" s="15">
        <f t="shared" si="34"/>
        <v>1970.1</v>
      </c>
      <c r="L203" s="12">
        <v>200</v>
      </c>
      <c r="M203" s="12">
        <f t="shared" si="35"/>
        <v>208</v>
      </c>
      <c r="N203" s="15">
        <v>3</v>
      </c>
      <c r="O203" s="15">
        <f t="shared" si="36"/>
        <v>78.930288461538467</v>
      </c>
      <c r="P203" s="15">
        <f t="shared" si="37"/>
        <v>157.86057692307693</v>
      </c>
      <c r="Q203" s="15">
        <f t="shared" si="38"/>
        <v>473.58173076923083</v>
      </c>
      <c r="R203" s="12">
        <v>34035</v>
      </c>
      <c r="S203" s="15">
        <f t="shared" si="39"/>
        <v>37405</v>
      </c>
      <c r="T203" s="20">
        <f>S203/median_percentile!$B$1</f>
        <v>0.74218478724565218</v>
      </c>
      <c r="U203" s="24" t="str" cm="1">
        <f t="array" ref="U203">_xlfn.IFS(T203&lt;1,"underpaid",T203&gt;1,"overpaid",T203=1,"median pay")</f>
        <v>underpaid</v>
      </c>
      <c r="V203" s="5"/>
    </row>
    <row r="204" spans="1:22" x14ac:dyDescent="0.3">
      <c r="A204" s="21" t="s">
        <v>215</v>
      </c>
      <c r="B204" s="8" t="s">
        <v>1214</v>
      </c>
      <c r="C204" s="8" t="s">
        <v>2015</v>
      </c>
      <c r="D204" s="9">
        <v>45996</v>
      </c>
      <c r="E204" s="10">
        <f t="shared" si="30"/>
        <v>675444</v>
      </c>
      <c r="F204" s="8">
        <v>47727</v>
      </c>
      <c r="G204" s="8">
        <v>8560</v>
      </c>
      <c r="H204" s="11">
        <f t="shared" si="31"/>
        <v>23863.5</v>
      </c>
      <c r="I204" s="11">
        <f t="shared" si="32"/>
        <v>9545.4</v>
      </c>
      <c r="J204" s="11">
        <f t="shared" si="33"/>
        <v>14318.099999999999</v>
      </c>
      <c r="K204" s="11">
        <f t="shared" si="34"/>
        <v>2863.62</v>
      </c>
      <c r="L204" s="8">
        <v>200</v>
      </c>
      <c r="M204" s="8">
        <f t="shared" si="35"/>
        <v>208</v>
      </c>
      <c r="N204" s="11">
        <v>1</v>
      </c>
      <c r="O204" s="11">
        <f t="shared" si="36"/>
        <v>114.72836538461539</v>
      </c>
      <c r="P204" s="11">
        <f t="shared" si="37"/>
        <v>229.45673076923077</v>
      </c>
      <c r="Q204" s="11">
        <f t="shared" si="38"/>
        <v>229.45673076923077</v>
      </c>
      <c r="R204" s="8">
        <v>53224</v>
      </c>
      <c r="S204" s="11">
        <f t="shared" si="39"/>
        <v>61784</v>
      </c>
      <c r="T204" s="20">
        <f>S204/median_percentile!$B$1</f>
        <v>1.2259095012748396</v>
      </c>
      <c r="U204" s="24" t="str" cm="1">
        <f t="array" ref="U204">_xlfn.IFS(T204&lt;1,"underpaid",T204&gt;1,"overpaid",T204=1,"median pay")</f>
        <v>overpaid</v>
      </c>
      <c r="V204" s="5"/>
    </row>
    <row r="205" spans="1:22" x14ac:dyDescent="0.3">
      <c r="A205" s="22" t="s">
        <v>216</v>
      </c>
      <c r="B205" s="12" t="s">
        <v>1215</v>
      </c>
      <c r="C205" s="12" t="s">
        <v>2015</v>
      </c>
      <c r="D205" s="13">
        <v>44974</v>
      </c>
      <c r="E205" s="14">
        <f t="shared" si="30"/>
        <v>765072</v>
      </c>
      <c r="F205" s="12">
        <v>53967</v>
      </c>
      <c r="G205" s="12">
        <v>9789</v>
      </c>
      <c r="H205" s="15">
        <f t="shared" si="31"/>
        <v>26983.5</v>
      </c>
      <c r="I205" s="15">
        <f t="shared" si="32"/>
        <v>10793.400000000001</v>
      </c>
      <c r="J205" s="15">
        <f t="shared" si="33"/>
        <v>16190.099999999999</v>
      </c>
      <c r="K205" s="15">
        <f t="shared" si="34"/>
        <v>3238.02</v>
      </c>
      <c r="L205" s="12">
        <v>200</v>
      </c>
      <c r="M205" s="12">
        <f t="shared" si="35"/>
        <v>208</v>
      </c>
      <c r="N205" s="15">
        <v>5</v>
      </c>
      <c r="O205" s="15">
        <f t="shared" si="36"/>
        <v>129.72836538461539</v>
      </c>
      <c r="P205" s="15">
        <f t="shared" si="37"/>
        <v>259.45673076923077</v>
      </c>
      <c r="Q205" s="15">
        <f t="shared" si="38"/>
        <v>1297.2836538461538</v>
      </c>
      <c r="R205" s="12">
        <v>61218</v>
      </c>
      <c r="S205" s="15">
        <f t="shared" si="39"/>
        <v>71007</v>
      </c>
      <c r="T205" s="20">
        <f>S205/median_percentile!$B$1</f>
        <v>1.4089109794934374</v>
      </c>
      <c r="U205" s="24" t="str" cm="1">
        <f t="array" ref="U205">_xlfn.IFS(T205&lt;1,"underpaid",T205&gt;1,"overpaid",T205=1,"median pay")</f>
        <v>overpaid</v>
      </c>
      <c r="V205" s="5"/>
    </row>
    <row r="206" spans="1:22" x14ac:dyDescent="0.3">
      <c r="A206" s="21" t="s">
        <v>217</v>
      </c>
      <c r="B206" s="8" t="s">
        <v>1216</v>
      </c>
      <c r="C206" s="8" t="s">
        <v>2011</v>
      </c>
      <c r="D206" s="9">
        <v>45042</v>
      </c>
      <c r="E206" s="10">
        <f t="shared" si="30"/>
        <v>353940</v>
      </c>
      <c r="F206" s="8">
        <v>25689</v>
      </c>
      <c r="G206" s="8">
        <v>3806</v>
      </c>
      <c r="H206" s="11">
        <f t="shared" si="31"/>
        <v>12844.5</v>
      </c>
      <c r="I206" s="11">
        <f t="shared" si="32"/>
        <v>5137.8</v>
      </c>
      <c r="J206" s="11">
        <f t="shared" si="33"/>
        <v>7706.7000000000007</v>
      </c>
      <c r="K206" s="11">
        <f t="shared" si="34"/>
        <v>1541.34</v>
      </c>
      <c r="L206" s="8">
        <v>200</v>
      </c>
      <c r="M206" s="8">
        <f t="shared" si="35"/>
        <v>208</v>
      </c>
      <c r="N206" s="11">
        <v>1</v>
      </c>
      <c r="O206" s="11">
        <f t="shared" si="36"/>
        <v>61.752403846153847</v>
      </c>
      <c r="P206" s="11">
        <f t="shared" si="37"/>
        <v>123.50480769230769</v>
      </c>
      <c r="Q206" s="11">
        <f t="shared" si="38"/>
        <v>123.50480769230769</v>
      </c>
      <c r="R206" s="8">
        <v>27754</v>
      </c>
      <c r="S206" s="11">
        <f t="shared" si="39"/>
        <v>31560</v>
      </c>
      <c r="T206" s="20">
        <f>S206/median_percentile!$B$1</f>
        <v>0.62620911336646923</v>
      </c>
      <c r="U206" s="24" t="str" cm="1">
        <f t="array" ref="U206">_xlfn.IFS(T206&lt;1,"underpaid",T206&gt;1,"overpaid",T206=1,"median pay")</f>
        <v>underpaid</v>
      </c>
      <c r="V206" s="5"/>
    </row>
    <row r="207" spans="1:22" x14ac:dyDescent="0.3">
      <c r="A207" s="22" t="s">
        <v>218</v>
      </c>
      <c r="B207" s="12" t="s">
        <v>1217</v>
      </c>
      <c r="C207" s="12" t="s">
        <v>2011</v>
      </c>
      <c r="D207" s="13">
        <v>44974</v>
      </c>
      <c r="E207" s="14">
        <f t="shared" si="30"/>
        <v>548580</v>
      </c>
      <c r="F207" s="12">
        <v>40040</v>
      </c>
      <c r="G207" s="12">
        <v>5675</v>
      </c>
      <c r="H207" s="15">
        <f t="shared" si="31"/>
        <v>20020</v>
      </c>
      <c r="I207" s="15">
        <f t="shared" si="32"/>
        <v>8008</v>
      </c>
      <c r="J207" s="15">
        <f t="shared" si="33"/>
        <v>12012</v>
      </c>
      <c r="K207" s="15">
        <f t="shared" si="34"/>
        <v>2402.4</v>
      </c>
      <c r="L207" s="12">
        <v>200</v>
      </c>
      <c r="M207" s="12">
        <f t="shared" si="35"/>
        <v>208</v>
      </c>
      <c r="N207" s="15">
        <v>2</v>
      </c>
      <c r="O207" s="15">
        <f t="shared" si="36"/>
        <v>96.25</v>
      </c>
      <c r="P207" s="15">
        <f t="shared" si="37"/>
        <v>192.5</v>
      </c>
      <c r="Q207" s="15">
        <f t="shared" si="38"/>
        <v>385</v>
      </c>
      <c r="R207" s="12">
        <v>43113</v>
      </c>
      <c r="S207" s="15">
        <f t="shared" si="39"/>
        <v>48788</v>
      </c>
      <c r="T207" s="20">
        <f>S207/median_percentile!$B$1</f>
        <v>0.96804468386955966</v>
      </c>
      <c r="U207" s="24" t="str" cm="1">
        <f t="array" ref="U207">_xlfn.IFS(T207&lt;1,"underpaid",T207&gt;1,"overpaid",T207=1,"median pay")</f>
        <v>underpaid</v>
      </c>
      <c r="V207" s="5"/>
    </row>
    <row r="208" spans="1:22" x14ac:dyDescent="0.3">
      <c r="A208" s="21" t="s">
        <v>219</v>
      </c>
      <c r="B208" s="8" t="s">
        <v>1218</v>
      </c>
      <c r="C208" s="8" t="s">
        <v>2011</v>
      </c>
      <c r="D208" s="9">
        <v>45957</v>
      </c>
      <c r="E208" s="10">
        <f t="shared" si="30"/>
        <v>323112</v>
      </c>
      <c r="F208" s="8">
        <v>23756</v>
      </c>
      <c r="G208" s="8">
        <v>3170</v>
      </c>
      <c r="H208" s="11">
        <f t="shared" si="31"/>
        <v>11878</v>
      </c>
      <c r="I208" s="11">
        <f t="shared" si="32"/>
        <v>4751.2</v>
      </c>
      <c r="J208" s="11">
        <f t="shared" si="33"/>
        <v>7126.7999999999993</v>
      </c>
      <c r="K208" s="11">
        <f t="shared" si="34"/>
        <v>1425.36</v>
      </c>
      <c r="L208" s="8">
        <v>200</v>
      </c>
      <c r="M208" s="8">
        <f t="shared" si="35"/>
        <v>208</v>
      </c>
      <c r="N208" s="11">
        <v>4</v>
      </c>
      <c r="O208" s="11">
        <f t="shared" si="36"/>
        <v>57.105769230769234</v>
      </c>
      <c r="P208" s="11">
        <f t="shared" si="37"/>
        <v>114.21153846153847</v>
      </c>
      <c r="Q208" s="11">
        <f t="shared" si="38"/>
        <v>456.84615384615387</v>
      </c>
      <c r="R208" s="8">
        <v>25301</v>
      </c>
      <c r="S208" s="11">
        <f t="shared" si="39"/>
        <v>28471</v>
      </c>
      <c r="T208" s="20">
        <f>S208/median_percentile!$B$1</f>
        <v>0.56491760667480184</v>
      </c>
      <c r="U208" s="24" t="str" cm="1">
        <f t="array" ref="U208">_xlfn.IFS(T208&lt;1,"underpaid",T208&gt;1,"overpaid",T208=1,"median pay")</f>
        <v>underpaid</v>
      </c>
      <c r="V208" s="5"/>
    </row>
    <row r="209" spans="1:22" x14ac:dyDescent="0.3">
      <c r="A209" s="22" t="s">
        <v>220</v>
      </c>
      <c r="B209" s="12" t="s">
        <v>1219</v>
      </c>
      <c r="C209" s="12" t="s">
        <v>2011</v>
      </c>
      <c r="D209" s="13">
        <v>44966</v>
      </c>
      <c r="E209" s="14">
        <f t="shared" si="30"/>
        <v>560448</v>
      </c>
      <c r="F209" s="12">
        <v>40615</v>
      </c>
      <c r="G209" s="12">
        <v>6089</v>
      </c>
      <c r="H209" s="15">
        <f t="shared" si="31"/>
        <v>20307.5</v>
      </c>
      <c r="I209" s="15">
        <f t="shared" si="32"/>
        <v>8123</v>
      </c>
      <c r="J209" s="15">
        <f t="shared" si="33"/>
        <v>12184.5</v>
      </c>
      <c r="K209" s="15">
        <f t="shared" si="34"/>
        <v>2436.9</v>
      </c>
      <c r="L209" s="12">
        <v>200</v>
      </c>
      <c r="M209" s="12">
        <f t="shared" si="35"/>
        <v>208</v>
      </c>
      <c r="N209" s="15">
        <v>5</v>
      </c>
      <c r="O209" s="15">
        <f t="shared" si="36"/>
        <v>97.632211538461533</v>
      </c>
      <c r="P209" s="15">
        <f t="shared" si="37"/>
        <v>195.26442307692307</v>
      </c>
      <c r="Q209" s="15">
        <f t="shared" si="38"/>
        <v>976.32211538461536</v>
      </c>
      <c r="R209" s="12">
        <v>44068</v>
      </c>
      <c r="S209" s="15">
        <f t="shared" si="39"/>
        <v>50157</v>
      </c>
      <c r="T209" s="20">
        <f>S209/median_percentile!$B$1</f>
        <v>0.99520819071996192</v>
      </c>
      <c r="U209" s="24" t="str" cm="1">
        <f t="array" ref="U209">_xlfn.IFS(T209&lt;1,"underpaid",T209&gt;1,"overpaid",T209=1,"median pay")</f>
        <v>underpaid</v>
      </c>
      <c r="V209" s="5"/>
    </row>
    <row r="210" spans="1:22" x14ac:dyDescent="0.3">
      <c r="A210" s="21" t="s">
        <v>221</v>
      </c>
      <c r="B210" s="8" t="s">
        <v>1220</v>
      </c>
      <c r="C210" s="8" t="s">
        <v>2013</v>
      </c>
      <c r="D210" s="9">
        <v>43755</v>
      </c>
      <c r="E210" s="10">
        <f t="shared" si="30"/>
        <v>549648</v>
      </c>
      <c r="F210" s="8">
        <v>38983</v>
      </c>
      <c r="G210" s="8">
        <v>6821</v>
      </c>
      <c r="H210" s="11">
        <f t="shared" si="31"/>
        <v>19491.5</v>
      </c>
      <c r="I210" s="11">
        <f t="shared" si="32"/>
        <v>7796.6</v>
      </c>
      <c r="J210" s="11">
        <f t="shared" si="33"/>
        <v>11694.900000000001</v>
      </c>
      <c r="K210" s="11">
        <f t="shared" si="34"/>
        <v>2338.98</v>
      </c>
      <c r="L210" s="8">
        <v>200</v>
      </c>
      <c r="M210" s="8">
        <f t="shared" si="35"/>
        <v>208</v>
      </c>
      <c r="N210" s="11">
        <v>1</v>
      </c>
      <c r="O210" s="11">
        <f t="shared" si="36"/>
        <v>93.709134615384613</v>
      </c>
      <c r="P210" s="11">
        <f t="shared" si="37"/>
        <v>187.41826923076923</v>
      </c>
      <c r="Q210" s="11">
        <f t="shared" si="38"/>
        <v>187.41826923076923</v>
      </c>
      <c r="R210" s="8">
        <v>43915</v>
      </c>
      <c r="S210" s="11">
        <f t="shared" si="39"/>
        <v>50736</v>
      </c>
      <c r="T210" s="20">
        <f>S210/median_percentile!$B$1</f>
        <v>1.0066966278758296</v>
      </c>
      <c r="U210" s="24" t="str" cm="1">
        <f t="array" ref="U210">_xlfn.IFS(T210&lt;1,"underpaid",T210&gt;1,"overpaid",T210=1,"median pay")</f>
        <v>overpaid</v>
      </c>
      <c r="V210" s="5"/>
    </row>
    <row r="211" spans="1:22" x14ac:dyDescent="0.3">
      <c r="A211" s="22" t="s">
        <v>222</v>
      </c>
      <c r="B211" s="12" t="s">
        <v>1221</v>
      </c>
      <c r="C211" s="12" t="s">
        <v>2013</v>
      </c>
      <c r="D211" s="13">
        <v>45645</v>
      </c>
      <c r="E211" s="14">
        <f t="shared" si="30"/>
        <v>733716</v>
      </c>
      <c r="F211" s="12">
        <v>51903</v>
      </c>
      <c r="G211" s="12">
        <v>9240</v>
      </c>
      <c r="H211" s="15">
        <f t="shared" si="31"/>
        <v>25951.5</v>
      </c>
      <c r="I211" s="15">
        <f t="shared" si="32"/>
        <v>10380.6</v>
      </c>
      <c r="J211" s="15">
        <f t="shared" si="33"/>
        <v>15570.900000000001</v>
      </c>
      <c r="K211" s="15">
        <f t="shared" si="34"/>
        <v>3114.18</v>
      </c>
      <c r="L211" s="12">
        <v>200</v>
      </c>
      <c r="M211" s="12">
        <f t="shared" si="35"/>
        <v>208</v>
      </c>
      <c r="N211" s="15">
        <v>4</v>
      </c>
      <c r="O211" s="15">
        <f t="shared" si="36"/>
        <v>124.76682692307692</v>
      </c>
      <c r="P211" s="15">
        <f t="shared" si="37"/>
        <v>249.53365384615384</v>
      </c>
      <c r="Q211" s="15">
        <f t="shared" si="38"/>
        <v>998.13461538461536</v>
      </c>
      <c r="R211" s="12">
        <v>57829</v>
      </c>
      <c r="S211" s="15">
        <f t="shared" si="39"/>
        <v>67069</v>
      </c>
      <c r="T211" s="20">
        <f>S211/median_percentile!$B$1</f>
        <v>1.3307737333452385</v>
      </c>
      <c r="U211" s="24" t="str" cm="1">
        <f t="array" ref="U211">_xlfn.IFS(T211&lt;1,"underpaid",T211&gt;1,"overpaid",T211=1,"median pay")</f>
        <v>overpaid</v>
      </c>
      <c r="V211" s="5"/>
    </row>
    <row r="212" spans="1:22" x14ac:dyDescent="0.3">
      <c r="A212" s="21" t="s">
        <v>223</v>
      </c>
      <c r="B212" s="8" t="s">
        <v>1222</v>
      </c>
      <c r="C212" s="8" t="s">
        <v>2016</v>
      </c>
      <c r="D212" s="9">
        <v>44212</v>
      </c>
      <c r="E212" s="10">
        <f t="shared" si="30"/>
        <v>626208</v>
      </c>
      <c r="F212" s="8">
        <v>46629</v>
      </c>
      <c r="G212" s="8">
        <v>5555</v>
      </c>
      <c r="H212" s="11">
        <f t="shared" si="31"/>
        <v>23314.5</v>
      </c>
      <c r="I212" s="11">
        <f t="shared" si="32"/>
        <v>9325.8000000000011</v>
      </c>
      <c r="J212" s="11">
        <f t="shared" si="33"/>
        <v>13988.699999999997</v>
      </c>
      <c r="K212" s="11">
        <f t="shared" si="34"/>
        <v>2797.74</v>
      </c>
      <c r="L212" s="8">
        <v>200</v>
      </c>
      <c r="M212" s="8">
        <f t="shared" si="35"/>
        <v>208</v>
      </c>
      <c r="N212" s="11">
        <v>4</v>
      </c>
      <c r="O212" s="11">
        <f t="shared" si="36"/>
        <v>112.08894230769231</v>
      </c>
      <c r="P212" s="11">
        <f t="shared" si="37"/>
        <v>224.17788461538461</v>
      </c>
      <c r="Q212" s="11">
        <f t="shared" si="38"/>
        <v>896.71153846153845</v>
      </c>
      <c r="R212" s="8">
        <v>49187</v>
      </c>
      <c r="S212" s="11">
        <f t="shared" si="39"/>
        <v>54742</v>
      </c>
      <c r="T212" s="20">
        <f>S212/median_percentile!$B$1</f>
        <v>1.0861831205293808</v>
      </c>
      <c r="U212" s="24" t="str" cm="1">
        <f t="array" ref="U212">_xlfn.IFS(T212&lt;1,"underpaid",T212&gt;1,"overpaid",T212=1,"median pay")</f>
        <v>overpaid</v>
      </c>
      <c r="V212" s="5"/>
    </row>
    <row r="213" spans="1:22" x14ac:dyDescent="0.3">
      <c r="A213" s="22" t="s">
        <v>224</v>
      </c>
      <c r="B213" s="12" t="s">
        <v>1223</v>
      </c>
      <c r="C213" s="12" t="s">
        <v>2016</v>
      </c>
      <c r="D213" s="13">
        <v>44125</v>
      </c>
      <c r="E213" s="14">
        <f t="shared" si="30"/>
        <v>610644</v>
      </c>
      <c r="F213" s="12">
        <v>44234</v>
      </c>
      <c r="G213" s="12">
        <v>6653</v>
      </c>
      <c r="H213" s="15">
        <f t="shared" si="31"/>
        <v>22117</v>
      </c>
      <c r="I213" s="15">
        <f t="shared" si="32"/>
        <v>8846.8000000000011</v>
      </c>
      <c r="J213" s="15">
        <f t="shared" si="33"/>
        <v>13270.199999999997</v>
      </c>
      <c r="K213" s="15">
        <f t="shared" si="34"/>
        <v>2654.04</v>
      </c>
      <c r="L213" s="12">
        <v>200</v>
      </c>
      <c r="M213" s="12">
        <f t="shared" si="35"/>
        <v>208</v>
      </c>
      <c r="N213" s="15">
        <v>5</v>
      </c>
      <c r="O213" s="15">
        <f t="shared" si="36"/>
        <v>106.33173076923077</v>
      </c>
      <c r="P213" s="15">
        <f t="shared" si="37"/>
        <v>212.66346153846155</v>
      </c>
      <c r="Q213" s="15">
        <f t="shared" si="38"/>
        <v>1063.3173076923076</v>
      </c>
      <c r="R213" s="12">
        <v>48770</v>
      </c>
      <c r="S213" s="15">
        <f t="shared" si="39"/>
        <v>55423</v>
      </c>
      <c r="T213" s="20">
        <f>S213/median_percentile!$B$1</f>
        <v>1.0996954274432771</v>
      </c>
      <c r="U213" s="24" t="str" cm="1">
        <f t="array" ref="U213">_xlfn.IFS(T213&lt;1,"underpaid",T213&gt;1,"overpaid",T213=1,"median pay")</f>
        <v>overpaid</v>
      </c>
      <c r="V213" s="5"/>
    </row>
    <row r="214" spans="1:22" x14ac:dyDescent="0.3">
      <c r="A214" s="21" t="s">
        <v>225</v>
      </c>
      <c r="B214" s="8" t="s">
        <v>1224</v>
      </c>
      <c r="C214" s="8" t="s">
        <v>2013</v>
      </c>
      <c r="D214" s="9">
        <v>45724</v>
      </c>
      <c r="E214" s="10">
        <f t="shared" si="30"/>
        <v>513780</v>
      </c>
      <c r="F214" s="8">
        <v>35948</v>
      </c>
      <c r="G214" s="8">
        <v>6867</v>
      </c>
      <c r="H214" s="11">
        <f t="shared" si="31"/>
        <v>17974</v>
      </c>
      <c r="I214" s="11">
        <f t="shared" si="32"/>
        <v>7189.6</v>
      </c>
      <c r="J214" s="11">
        <f t="shared" si="33"/>
        <v>10784.400000000001</v>
      </c>
      <c r="K214" s="11">
        <f t="shared" si="34"/>
        <v>2156.88</v>
      </c>
      <c r="L214" s="8">
        <v>200</v>
      </c>
      <c r="M214" s="8">
        <f t="shared" si="35"/>
        <v>208</v>
      </c>
      <c r="N214" s="11">
        <v>3</v>
      </c>
      <c r="O214" s="11">
        <f t="shared" si="36"/>
        <v>86.413461538461533</v>
      </c>
      <c r="P214" s="11">
        <f t="shared" si="37"/>
        <v>172.82692307692307</v>
      </c>
      <c r="Q214" s="11">
        <f t="shared" si="38"/>
        <v>518.48076923076917</v>
      </c>
      <c r="R214" s="8">
        <v>40459</v>
      </c>
      <c r="S214" s="11">
        <f t="shared" si="39"/>
        <v>47326</v>
      </c>
      <c r="T214" s="20">
        <f>S214/median_percentile!$B$1</f>
        <v>0.93903588400448423</v>
      </c>
      <c r="U214" s="24" t="str" cm="1">
        <f t="array" ref="U214">_xlfn.IFS(T214&lt;1,"underpaid",T214&gt;1,"overpaid",T214=1,"median pay")</f>
        <v>underpaid</v>
      </c>
      <c r="V214" s="5"/>
    </row>
    <row r="215" spans="1:22" x14ac:dyDescent="0.3">
      <c r="A215" s="22" t="s">
        <v>226</v>
      </c>
      <c r="B215" s="12" t="s">
        <v>1225</v>
      </c>
      <c r="C215" s="12" t="s">
        <v>2011</v>
      </c>
      <c r="D215" s="13">
        <v>44189</v>
      </c>
      <c r="E215" s="14">
        <f t="shared" si="30"/>
        <v>609012</v>
      </c>
      <c r="F215" s="12">
        <v>43881</v>
      </c>
      <c r="G215" s="12">
        <v>6870</v>
      </c>
      <c r="H215" s="15">
        <f t="shared" si="31"/>
        <v>21940.5</v>
      </c>
      <c r="I215" s="15">
        <f t="shared" si="32"/>
        <v>8776.2000000000007</v>
      </c>
      <c r="J215" s="15">
        <f t="shared" si="33"/>
        <v>13164.3</v>
      </c>
      <c r="K215" s="15">
        <f t="shared" si="34"/>
        <v>2632.86</v>
      </c>
      <c r="L215" s="12">
        <v>200</v>
      </c>
      <c r="M215" s="12">
        <f t="shared" si="35"/>
        <v>208</v>
      </c>
      <c r="N215" s="15">
        <v>0</v>
      </c>
      <c r="O215" s="15">
        <f t="shared" si="36"/>
        <v>105.48317307692308</v>
      </c>
      <c r="P215" s="15">
        <f t="shared" si="37"/>
        <v>210.96634615384616</v>
      </c>
      <c r="Q215" s="15">
        <f t="shared" si="38"/>
        <v>0</v>
      </c>
      <c r="R215" s="12">
        <v>47919</v>
      </c>
      <c r="S215" s="15">
        <f t="shared" si="39"/>
        <v>54789</v>
      </c>
      <c r="T215" s="20">
        <f>S215/median_percentile!$B$1</f>
        <v>1.0871156879669037</v>
      </c>
      <c r="U215" s="24" t="str" cm="1">
        <f t="array" ref="U215">_xlfn.IFS(T215&lt;1,"underpaid",T215&gt;1,"overpaid",T215=1,"median pay")</f>
        <v>overpaid</v>
      </c>
      <c r="V215" s="5"/>
    </row>
    <row r="216" spans="1:22" x14ac:dyDescent="0.3">
      <c r="A216" s="21" t="s">
        <v>227</v>
      </c>
      <c r="B216" s="8" t="s">
        <v>1226</v>
      </c>
      <c r="C216" s="8" t="s">
        <v>2016</v>
      </c>
      <c r="D216" s="9">
        <v>44550</v>
      </c>
      <c r="E216" s="10">
        <f t="shared" si="30"/>
        <v>538800</v>
      </c>
      <c r="F216" s="8">
        <v>38228</v>
      </c>
      <c r="G216" s="8">
        <v>6672</v>
      </c>
      <c r="H216" s="11">
        <f t="shared" si="31"/>
        <v>19114</v>
      </c>
      <c r="I216" s="11">
        <f t="shared" si="32"/>
        <v>7645.6</v>
      </c>
      <c r="J216" s="11">
        <f t="shared" si="33"/>
        <v>11468.400000000001</v>
      </c>
      <c r="K216" s="11">
        <f t="shared" si="34"/>
        <v>2293.6799999999998</v>
      </c>
      <c r="L216" s="8">
        <v>200</v>
      </c>
      <c r="M216" s="8">
        <f t="shared" si="35"/>
        <v>208</v>
      </c>
      <c r="N216" s="11">
        <v>4</v>
      </c>
      <c r="O216" s="11">
        <f t="shared" si="36"/>
        <v>91.894230769230774</v>
      </c>
      <c r="P216" s="11">
        <f t="shared" si="37"/>
        <v>183.78846153846155</v>
      </c>
      <c r="Q216" s="11">
        <f t="shared" si="38"/>
        <v>735.15384615384619</v>
      </c>
      <c r="R216" s="8">
        <v>42407</v>
      </c>
      <c r="S216" s="11">
        <f t="shared" si="39"/>
        <v>49079</v>
      </c>
      <c r="T216" s="20">
        <f>S216/median_percentile!$B$1</f>
        <v>0.97381866523805272</v>
      </c>
      <c r="U216" s="24" t="str" cm="1">
        <f t="array" ref="U216">_xlfn.IFS(T216&lt;1,"underpaid",T216&gt;1,"overpaid",T216=1,"median pay")</f>
        <v>underpaid</v>
      </c>
      <c r="V216" s="5"/>
    </row>
    <row r="217" spans="1:22" x14ac:dyDescent="0.3">
      <c r="A217" s="22" t="s">
        <v>228</v>
      </c>
      <c r="B217" s="12" t="s">
        <v>1227</v>
      </c>
      <c r="C217" s="12" t="s">
        <v>2016</v>
      </c>
      <c r="D217" s="13">
        <v>43814</v>
      </c>
      <c r="E217" s="14">
        <f t="shared" si="30"/>
        <v>394080</v>
      </c>
      <c r="F217" s="12">
        <v>28903</v>
      </c>
      <c r="G217" s="12">
        <v>3937</v>
      </c>
      <c r="H217" s="15">
        <f t="shared" si="31"/>
        <v>14451.5</v>
      </c>
      <c r="I217" s="15">
        <f t="shared" si="32"/>
        <v>5780.6</v>
      </c>
      <c r="J217" s="15">
        <f t="shared" si="33"/>
        <v>8670.9000000000015</v>
      </c>
      <c r="K217" s="15">
        <f t="shared" si="34"/>
        <v>1734.1799999999998</v>
      </c>
      <c r="L217" s="12">
        <v>200</v>
      </c>
      <c r="M217" s="12">
        <f t="shared" si="35"/>
        <v>208</v>
      </c>
      <c r="N217" s="15">
        <v>3</v>
      </c>
      <c r="O217" s="15">
        <f t="shared" si="36"/>
        <v>69.478365384615387</v>
      </c>
      <c r="P217" s="15">
        <f t="shared" si="37"/>
        <v>138.95673076923077</v>
      </c>
      <c r="Q217" s="15">
        <f t="shared" si="38"/>
        <v>416.87019230769232</v>
      </c>
      <c r="R217" s="12">
        <v>31146</v>
      </c>
      <c r="S217" s="15">
        <f t="shared" si="39"/>
        <v>35083</v>
      </c>
      <c r="T217" s="20">
        <f>S217/median_percentile!$B$1</f>
        <v>0.69611198745994429</v>
      </c>
      <c r="U217" s="24" t="str" cm="1">
        <f t="array" ref="U217">_xlfn.IFS(T217&lt;1,"underpaid",T217&gt;1,"overpaid",T217=1,"median pay")</f>
        <v>underpaid</v>
      </c>
      <c r="V217" s="5"/>
    </row>
    <row r="218" spans="1:22" x14ac:dyDescent="0.3">
      <c r="A218" s="21" t="s">
        <v>229</v>
      </c>
      <c r="B218" s="8" t="s">
        <v>1228</v>
      </c>
      <c r="C218" s="8" t="s">
        <v>2011</v>
      </c>
      <c r="D218" s="9">
        <v>45277</v>
      </c>
      <c r="E218" s="10">
        <f t="shared" si="30"/>
        <v>539496</v>
      </c>
      <c r="F218" s="8">
        <v>38584</v>
      </c>
      <c r="G218" s="8">
        <v>6374</v>
      </c>
      <c r="H218" s="11">
        <f t="shared" si="31"/>
        <v>19292</v>
      </c>
      <c r="I218" s="11">
        <f t="shared" si="32"/>
        <v>7716.8</v>
      </c>
      <c r="J218" s="11">
        <f t="shared" si="33"/>
        <v>11575.2</v>
      </c>
      <c r="K218" s="11">
        <f t="shared" si="34"/>
        <v>2315.04</v>
      </c>
      <c r="L218" s="8">
        <v>200</v>
      </c>
      <c r="M218" s="8">
        <f t="shared" si="35"/>
        <v>208</v>
      </c>
      <c r="N218" s="11">
        <v>2</v>
      </c>
      <c r="O218" s="11">
        <f t="shared" si="36"/>
        <v>92.75</v>
      </c>
      <c r="P218" s="11">
        <f t="shared" si="37"/>
        <v>185.5</v>
      </c>
      <c r="Q218" s="11">
        <f t="shared" si="38"/>
        <v>371</v>
      </c>
      <c r="R218" s="8">
        <v>42443</v>
      </c>
      <c r="S218" s="11">
        <f t="shared" si="39"/>
        <v>48817</v>
      </c>
      <c r="T218" s="20">
        <f>S218/median_percentile!$B$1</f>
        <v>0.96862009782037162</v>
      </c>
      <c r="U218" s="24" t="str" cm="1">
        <f t="array" ref="U218">_xlfn.IFS(T218&lt;1,"underpaid",T218&gt;1,"overpaid",T218=1,"median pay")</f>
        <v>underpaid</v>
      </c>
      <c r="V218" s="5"/>
    </row>
    <row r="219" spans="1:22" x14ac:dyDescent="0.3">
      <c r="A219" s="22" t="s">
        <v>230</v>
      </c>
      <c r="B219" s="12" t="s">
        <v>1229</v>
      </c>
      <c r="C219" s="12" t="s">
        <v>2012</v>
      </c>
      <c r="D219" s="13">
        <v>43756</v>
      </c>
      <c r="E219" s="14">
        <f t="shared" si="30"/>
        <v>539016</v>
      </c>
      <c r="F219" s="12">
        <v>39222</v>
      </c>
      <c r="G219" s="12">
        <v>5696</v>
      </c>
      <c r="H219" s="15">
        <f t="shared" si="31"/>
        <v>19611</v>
      </c>
      <c r="I219" s="15">
        <f t="shared" si="32"/>
        <v>7844.4000000000005</v>
      </c>
      <c r="J219" s="15">
        <f t="shared" si="33"/>
        <v>11766.599999999999</v>
      </c>
      <c r="K219" s="15">
        <f t="shared" si="34"/>
        <v>2353.3199999999997</v>
      </c>
      <c r="L219" s="12">
        <v>200</v>
      </c>
      <c r="M219" s="12">
        <f t="shared" si="35"/>
        <v>208</v>
      </c>
      <c r="N219" s="15">
        <v>1</v>
      </c>
      <c r="O219" s="15">
        <f t="shared" si="36"/>
        <v>94.28365384615384</v>
      </c>
      <c r="P219" s="15">
        <f t="shared" si="37"/>
        <v>188.56730769230768</v>
      </c>
      <c r="Q219" s="15">
        <f t="shared" si="38"/>
        <v>188.56730769230768</v>
      </c>
      <c r="R219" s="12">
        <v>42365</v>
      </c>
      <c r="S219" s="15">
        <f t="shared" si="39"/>
        <v>48061</v>
      </c>
      <c r="T219" s="20">
        <f>S219/median_percentile!$B$1</f>
        <v>0.95361965137851323</v>
      </c>
      <c r="U219" s="24" t="str" cm="1">
        <f t="array" ref="U219">_xlfn.IFS(T219&lt;1,"underpaid",T219&gt;1,"overpaid",T219=1,"median pay")</f>
        <v>underpaid</v>
      </c>
      <c r="V219" s="5"/>
    </row>
    <row r="220" spans="1:22" x14ac:dyDescent="0.3">
      <c r="A220" s="21" t="s">
        <v>231</v>
      </c>
      <c r="B220" s="8" t="s">
        <v>1230</v>
      </c>
      <c r="C220" s="8" t="s">
        <v>2014</v>
      </c>
      <c r="D220" s="9">
        <v>44868</v>
      </c>
      <c r="E220" s="10">
        <f t="shared" si="30"/>
        <v>513792</v>
      </c>
      <c r="F220" s="8">
        <v>37469</v>
      </c>
      <c r="G220" s="8">
        <v>5347</v>
      </c>
      <c r="H220" s="11">
        <f t="shared" si="31"/>
        <v>18734.5</v>
      </c>
      <c r="I220" s="11">
        <f t="shared" si="32"/>
        <v>7493.8</v>
      </c>
      <c r="J220" s="11">
        <f t="shared" si="33"/>
        <v>11240.7</v>
      </c>
      <c r="K220" s="11">
        <f t="shared" si="34"/>
        <v>2248.14</v>
      </c>
      <c r="L220" s="8">
        <v>200</v>
      </c>
      <c r="M220" s="8">
        <f t="shared" si="35"/>
        <v>208</v>
      </c>
      <c r="N220" s="11">
        <v>2</v>
      </c>
      <c r="O220" s="11">
        <f t="shared" si="36"/>
        <v>90.069711538461533</v>
      </c>
      <c r="P220" s="11">
        <f t="shared" si="37"/>
        <v>180.13942307692307</v>
      </c>
      <c r="Q220" s="11">
        <f t="shared" si="38"/>
        <v>360.27884615384613</v>
      </c>
      <c r="R220" s="8">
        <v>40680</v>
      </c>
      <c r="S220" s="11">
        <f t="shared" si="39"/>
        <v>46027</v>
      </c>
      <c r="T220" s="20">
        <f>S220/median_percentile!$B$1</f>
        <v>0.91326130738017997</v>
      </c>
      <c r="U220" s="24" t="str" cm="1">
        <f t="array" ref="U220">_xlfn.IFS(T220&lt;1,"underpaid",T220&gt;1,"overpaid",T220=1,"median pay")</f>
        <v>underpaid</v>
      </c>
      <c r="V220" s="5"/>
    </row>
    <row r="221" spans="1:22" x14ac:dyDescent="0.3">
      <c r="A221" s="22" t="s">
        <v>232</v>
      </c>
      <c r="B221" s="12" t="s">
        <v>1231</v>
      </c>
      <c r="C221" s="12" t="s">
        <v>2014</v>
      </c>
      <c r="D221" s="13">
        <v>43869</v>
      </c>
      <c r="E221" s="14">
        <f t="shared" si="30"/>
        <v>687996</v>
      </c>
      <c r="F221" s="12">
        <v>47982</v>
      </c>
      <c r="G221" s="12">
        <v>9351</v>
      </c>
      <c r="H221" s="15">
        <f t="shared" si="31"/>
        <v>23991</v>
      </c>
      <c r="I221" s="15">
        <f t="shared" si="32"/>
        <v>9596.4</v>
      </c>
      <c r="J221" s="15">
        <f t="shared" si="33"/>
        <v>14394.599999999999</v>
      </c>
      <c r="K221" s="15">
        <f t="shared" si="34"/>
        <v>2878.92</v>
      </c>
      <c r="L221" s="12">
        <v>200</v>
      </c>
      <c r="M221" s="12">
        <f t="shared" si="35"/>
        <v>208</v>
      </c>
      <c r="N221" s="15">
        <v>0</v>
      </c>
      <c r="O221" s="15">
        <f t="shared" si="36"/>
        <v>115.34134615384616</v>
      </c>
      <c r="P221" s="15">
        <f t="shared" si="37"/>
        <v>230.68269230769232</v>
      </c>
      <c r="Q221" s="15">
        <f t="shared" si="38"/>
        <v>0</v>
      </c>
      <c r="R221" s="12">
        <v>54654</v>
      </c>
      <c r="S221" s="15">
        <f t="shared" si="39"/>
        <v>64005</v>
      </c>
      <c r="T221" s="20">
        <f>S221/median_percentile!$B$1</f>
        <v>1.2699782731628917</v>
      </c>
      <c r="U221" s="24" t="str" cm="1">
        <f t="array" ref="U221">_xlfn.IFS(T221&lt;1,"underpaid",T221&gt;1,"overpaid",T221=1,"median pay")</f>
        <v>overpaid</v>
      </c>
      <c r="V221" s="5"/>
    </row>
    <row r="222" spans="1:22" x14ac:dyDescent="0.3">
      <c r="A222" s="21" t="s">
        <v>233</v>
      </c>
      <c r="B222" s="8" t="s">
        <v>1232</v>
      </c>
      <c r="C222" s="8" t="s">
        <v>2015</v>
      </c>
      <c r="D222" s="9">
        <v>44299</v>
      </c>
      <c r="E222" s="10">
        <f t="shared" si="30"/>
        <v>603552</v>
      </c>
      <c r="F222" s="8">
        <v>45329</v>
      </c>
      <c r="G222" s="8">
        <v>4967</v>
      </c>
      <c r="H222" s="11">
        <f t="shared" si="31"/>
        <v>22664.5</v>
      </c>
      <c r="I222" s="11">
        <f t="shared" si="32"/>
        <v>9065.8000000000011</v>
      </c>
      <c r="J222" s="11">
        <f t="shared" si="33"/>
        <v>13598.699999999997</v>
      </c>
      <c r="K222" s="11">
        <f t="shared" si="34"/>
        <v>2719.74</v>
      </c>
      <c r="L222" s="8">
        <v>200</v>
      </c>
      <c r="M222" s="8">
        <f t="shared" si="35"/>
        <v>208</v>
      </c>
      <c r="N222" s="11">
        <v>4</v>
      </c>
      <c r="O222" s="11">
        <f t="shared" si="36"/>
        <v>108.96394230769231</v>
      </c>
      <c r="P222" s="11">
        <f t="shared" si="37"/>
        <v>217.92788461538461</v>
      </c>
      <c r="Q222" s="11">
        <f t="shared" si="38"/>
        <v>871.71153846153845</v>
      </c>
      <c r="R222" s="8">
        <v>48132</v>
      </c>
      <c r="S222" s="11">
        <f t="shared" si="39"/>
        <v>53099</v>
      </c>
      <c r="T222" s="20">
        <f>S222/median_percentile!$B$1</f>
        <v>1.0535829439368236</v>
      </c>
      <c r="U222" s="24" t="str" cm="1">
        <f t="array" ref="U222">_xlfn.IFS(T222&lt;1,"underpaid",T222&gt;1,"overpaid",T222=1,"median pay")</f>
        <v>overpaid</v>
      </c>
      <c r="V222" s="5"/>
    </row>
    <row r="223" spans="1:22" x14ac:dyDescent="0.3">
      <c r="A223" s="22" t="s">
        <v>234</v>
      </c>
      <c r="B223" s="12" t="s">
        <v>1233</v>
      </c>
      <c r="C223" s="12" t="s">
        <v>2013</v>
      </c>
      <c r="D223" s="13">
        <v>44789</v>
      </c>
      <c r="E223" s="14">
        <f t="shared" si="30"/>
        <v>595152</v>
      </c>
      <c r="F223" s="12">
        <v>43855</v>
      </c>
      <c r="G223" s="12">
        <v>5741</v>
      </c>
      <c r="H223" s="15">
        <f t="shared" si="31"/>
        <v>21927.5</v>
      </c>
      <c r="I223" s="15">
        <f t="shared" si="32"/>
        <v>8771</v>
      </c>
      <c r="J223" s="15">
        <f t="shared" si="33"/>
        <v>13156.5</v>
      </c>
      <c r="K223" s="15">
        <f t="shared" si="34"/>
        <v>2631.2999999999997</v>
      </c>
      <c r="L223" s="12">
        <v>200</v>
      </c>
      <c r="M223" s="12">
        <f t="shared" si="35"/>
        <v>208</v>
      </c>
      <c r="N223" s="15">
        <v>3</v>
      </c>
      <c r="O223" s="15">
        <f t="shared" si="36"/>
        <v>105.42067307692308</v>
      </c>
      <c r="P223" s="15">
        <f t="shared" si="37"/>
        <v>210.84134615384616</v>
      </c>
      <c r="Q223" s="15">
        <f t="shared" si="38"/>
        <v>632.52403846153845</v>
      </c>
      <c r="R223" s="12">
        <v>46765</v>
      </c>
      <c r="S223" s="15">
        <f t="shared" si="39"/>
        <v>52506</v>
      </c>
      <c r="T223" s="20">
        <f>S223/median_percentile!$B$1</f>
        <v>1.0418167207357363</v>
      </c>
      <c r="U223" s="24" t="str" cm="1">
        <f t="array" ref="U223">_xlfn.IFS(T223&lt;1,"underpaid",T223&gt;1,"overpaid",T223=1,"median pay")</f>
        <v>overpaid</v>
      </c>
      <c r="V223" s="5"/>
    </row>
    <row r="224" spans="1:22" x14ac:dyDescent="0.3">
      <c r="A224" s="21" t="s">
        <v>235</v>
      </c>
      <c r="B224" s="8" t="s">
        <v>1234</v>
      </c>
      <c r="C224" s="8" t="s">
        <v>2013</v>
      </c>
      <c r="D224" s="9">
        <v>45153</v>
      </c>
      <c r="E224" s="10">
        <f t="shared" si="30"/>
        <v>654936</v>
      </c>
      <c r="F224" s="8">
        <v>46058</v>
      </c>
      <c r="G224" s="8">
        <v>8520</v>
      </c>
      <c r="H224" s="11">
        <f t="shared" si="31"/>
        <v>23029</v>
      </c>
      <c r="I224" s="11">
        <f t="shared" si="32"/>
        <v>9211.6</v>
      </c>
      <c r="J224" s="11">
        <f t="shared" si="33"/>
        <v>13817.400000000001</v>
      </c>
      <c r="K224" s="11">
        <f t="shared" si="34"/>
        <v>2763.48</v>
      </c>
      <c r="L224" s="8">
        <v>200</v>
      </c>
      <c r="M224" s="8">
        <f t="shared" si="35"/>
        <v>208</v>
      </c>
      <c r="N224" s="11">
        <v>5</v>
      </c>
      <c r="O224" s="11">
        <f t="shared" si="36"/>
        <v>110.71634615384616</v>
      </c>
      <c r="P224" s="11">
        <f t="shared" si="37"/>
        <v>221.43269230769232</v>
      </c>
      <c r="Q224" s="11">
        <f t="shared" si="38"/>
        <v>1107.1634615384617</v>
      </c>
      <c r="R224" s="8">
        <v>51615</v>
      </c>
      <c r="S224" s="11">
        <f t="shared" si="39"/>
        <v>60135</v>
      </c>
      <c r="T224" s="20">
        <f>S224/median_percentile!$B$1</f>
        <v>1.1931902735200453</v>
      </c>
      <c r="U224" s="24" t="str" cm="1">
        <f t="array" ref="U224">_xlfn.IFS(T224&lt;1,"underpaid",T224&gt;1,"overpaid",T224=1,"median pay")</f>
        <v>overpaid</v>
      </c>
      <c r="V224" s="5"/>
    </row>
    <row r="225" spans="1:22" x14ac:dyDescent="0.3">
      <c r="A225" s="22" t="s">
        <v>236</v>
      </c>
      <c r="B225" s="12" t="s">
        <v>1235</v>
      </c>
      <c r="C225" s="12" t="s">
        <v>2016</v>
      </c>
      <c r="D225" s="13">
        <v>44151</v>
      </c>
      <c r="E225" s="14">
        <f t="shared" si="30"/>
        <v>657036</v>
      </c>
      <c r="F225" s="12">
        <v>48456</v>
      </c>
      <c r="G225" s="12">
        <v>6297</v>
      </c>
      <c r="H225" s="15">
        <f t="shared" si="31"/>
        <v>24228</v>
      </c>
      <c r="I225" s="15">
        <f t="shared" si="32"/>
        <v>9691.2000000000007</v>
      </c>
      <c r="J225" s="15">
        <f t="shared" si="33"/>
        <v>14536.800000000003</v>
      </c>
      <c r="K225" s="15">
        <f t="shared" si="34"/>
        <v>2907.3599999999997</v>
      </c>
      <c r="L225" s="12">
        <v>200</v>
      </c>
      <c r="M225" s="12">
        <f t="shared" si="35"/>
        <v>208</v>
      </c>
      <c r="N225" s="15">
        <v>4</v>
      </c>
      <c r="O225" s="15">
        <f t="shared" si="36"/>
        <v>116.48076923076923</v>
      </c>
      <c r="P225" s="15">
        <f t="shared" si="37"/>
        <v>232.96153846153845</v>
      </c>
      <c r="Q225" s="15">
        <f t="shared" si="38"/>
        <v>931.84615384615381</v>
      </c>
      <c r="R225" s="12">
        <v>52453</v>
      </c>
      <c r="S225" s="15">
        <f t="shared" si="39"/>
        <v>58750</v>
      </c>
      <c r="T225" s="20">
        <f>S225/median_percentile!$B$1</f>
        <v>1.1657092969036777</v>
      </c>
      <c r="U225" s="24" t="str" cm="1">
        <f t="array" ref="U225">_xlfn.IFS(T225&lt;1,"underpaid",T225&gt;1,"overpaid",T225=1,"median pay")</f>
        <v>overpaid</v>
      </c>
      <c r="V225" s="5"/>
    </row>
    <row r="226" spans="1:22" x14ac:dyDescent="0.3">
      <c r="A226" s="21" t="s">
        <v>237</v>
      </c>
      <c r="B226" s="8" t="s">
        <v>1236</v>
      </c>
      <c r="C226" s="8" t="s">
        <v>2013</v>
      </c>
      <c r="D226" s="9">
        <v>44005</v>
      </c>
      <c r="E226" s="10">
        <f t="shared" si="30"/>
        <v>552264</v>
      </c>
      <c r="F226" s="8">
        <v>38606</v>
      </c>
      <c r="G226" s="8">
        <v>7416</v>
      </c>
      <c r="H226" s="11">
        <f t="shared" si="31"/>
        <v>19303</v>
      </c>
      <c r="I226" s="11">
        <f t="shared" si="32"/>
        <v>7721.2000000000007</v>
      </c>
      <c r="J226" s="11">
        <f t="shared" si="33"/>
        <v>11581.8</v>
      </c>
      <c r="K226" s="11">
        <f t="shared" si="34"/>
        <v>2316.36</v>
      </c>
      <c r="L226" s="8">
        <v>200</v>
      </c>
      <c r="M226" s="8">
        <f t="shared" si="35"/>
        <v>208</v>
      </c>
      <c r="N226" s="11">
        <v>3</v>
      </c>
      <c r="O226" s="11">
        <f t="shared" si="36"/>
        <v>92.802884615384613</v>
      </c>
      <c r="P226" s="11">
        <f t="shared" si="37"/>
        <v>185.60576923076923</v>
      </c>
      <c r="Q226" s="11">
        <f t="shared" si="38"/>
        <v>556.81730769230762</v>
      </c>
      <c r="R226" s="8">
        <v>43506</v>
      </c>
      <c r="S226" s="11">
        <f t="shared" si="39"/>
        <v>50922</v>
      </c>
      <c r="T226" s="20">
        <f>S226/median_percentile!$B$1</f>
        <v>1.0103872139051757</v>
      </c>
      <c r="U226" s="24" t="str" cm="1">
        <f t="array" ref="U226">_xlfn.IFS(T226&lt;1,"underpaid",T226&gt;1,"overpaid",T226=1,"median pay")</f>
        <v>overpaid</v>
      </c>
      <c r="V226" s="5"/>
    </row>
    <row r="227" spans="1:22" x14ac:dyDescent="0.3">
      <c r="A227" s="22" t="s">
        <v>238</v>
      </c>
      <c r="B227" s="12" t="s">
        <v>1237</v>
      </c>
      <c r="C227" s="12" t="s">
        <v>2015</v>
      </c>
      <c r="D227" s="13">
        <v>44963</v>
      </c>
      <c r="E227" s="14">
        <f t="shared" si="30"/>
        <v>660984</v>
      </c>
      <c r="F227" s="12">
        <v>46785</v>
      </c>
      <c r="G227" s="12">
        <v>8297</v>
      </c>
      <c r="H227" s="15">
        <f t="shared" si="31"/>
        <v>23392.5</v>
      </c>
      <c r="I227" s="15">
        <f t="shared" si="32"/>
        <v>9357</v>
      </c>
      <c r="J227" s="15">
        <f t="shared" si="33"/>
        <v>14035.5</v>
      </c>
      <c r="K227" s="15">
        <f t="shared" si="34"/>
        <v>2807.1</v>
      </c>
      <c r="L227" s="12">
        <v>200</v>
      </c>
      <c r="M227" s="12">
        <f t="shared" si="35"/>
        <v>208</v>
      </c>
      <c r="N227" s="15">
        <v>4</v>
      </c>
      <c r="O227" s="15">
        <f t="shared" si="36"/>
        <v>112.46394230769231</v>
      </c>
      <c r="P227" s="15">
        <f t="shared" si="37"/>
        <v>224.92788461538461</v>
      </c>
      <c r="Q227" s="15">
        <f t="shared" si="38"/>
        <v>899.71153846153845</v>
      </c>
      <c r="R227" s="12">
        <v>52075</v>
      </c>
      <c r="S227" s="15">
        <f t="shared" si="39"/>
        <v>60372</v>
      </c>
      <c r="T227" s="20">
        <f>S227/median_percentile!$B$1</f>
        <v>1.1978927944284057</v>
      </c>
      <c r="U227" s="24" t="str" cm="1">
        <f t="array" ref="U227">_xlfn.IFS(T227&lt;1,"underpaid",T227&gt;1,"overpaid",T227=1,"median pay")</f>
        <v>overpaid</v>
      </c>
      <c r="V227" s="5"/>
    </row>
    <row r="228" spans="1:22" x14ac:dyDescent="0.3">
      <c r="A228" s="21" t="s">
        <v>239</v>
      </c>
      <c r="B228" s="8" t="s">
        <v>1238</v>
      </c>
      <c r="C228" s="8" t="s">
        <v>2011</v>
      </c>
      <c r="D228" s="9">
        <v>43633</v>
      </c>
      <c r="E228" s="10">
        <f t="shared" si="30"/>
        <v>447720</v>
      </c>
      <c r="F228" s="8">
        <v>33904</v>
      </c>
      <c r="G228" s="8">
        <v>3406</v>
      </c>
      <c r="H228" s="11">
        <f t="shared" si="31"/>
        <v>16952</v>
      </c>
      <c r="I228" s="11">
        <f t="shared" si="32"/>
        <v>6780.8</v>
      </c>
      <c r="J228" s="11">
        <f t="shared" si="33"/>
        <v>10171.200000000001</v>
      </c>
      <c r="K228" s="11">
        <f t="shared" si="34"/>
        <v>2034.24</v>
      </c>
      <c r="L228" s="8">
        <v>200</v>
      </c>
      <c r="M228" s="8">
        <f t="shared" si="35"/>
        <v>208</v>
      </c>
      <c r="N228" s="11">
        <v>5</v>
      </c>
      <c r="O228" s="11">
        <f t="shared" si="36"/>
        <v>81.5</v>
      </c>
      <c r="P228" s="11">
        <f t="shared" si="37"/>
        <v>163</v>
      </c>
      <c r="Q228" s="11">
        <f t="shared" si="38"/>
        <v>815</v>
      </c>
      <c r="R228" s="8">
        <v>35076</v>
      </c>
      <c r="S228" s="11">
        <f t="shared" si="39"/>
        <v>38482</v>
      </c>
      <c r="T228" s="20">
        <f>S228/median_percentile!$B$1</f>
        <v>0.76355447086718853</v>
      </c>
      <c r="U228" s="24" t="str" cm="1">
        <f t="array" ref="U228">_xlfn.IFS(T228&lt;1,"underpaid",T228&gt;1,"overpaid",T228=1,"median pay")</f>
        <v>underpaid</v>
      </c>
      <c r="V228" s="5"/>
    </row>
    <row r="229" spans="1:22" x14ac:dyDescent="0.3">
      <c r="A229" s="22" t="s">
        <v>240</v>
      </c>
      <c r="B229" s="12" t="s">
        <v>1239</v>
      </c>
      <c r="C229" s="12" t="s">
        <v>2016</v>
      </c>
      <c r="D229" s="13">
        <v>43752</v>
      </c>
      <c r="E229" s="14">
        <f t="shared" si="30"/>
        <v>366276</v>
      </c>
      <c r="F229" s="12">
        <v>26604</v>
      </c>
      <c r="G229" s="12">
        <v>3919</v>
      </c>
      <c r="H229" s="15">
        <f t="shared" si="31"/>
        <v>13302</v>
      </c>
      <c r="I229" s="15">
        <f t="shared" si="32"/>
        <v>5320.8</v>
      </c>
      <c r="J229" s="15">
        <f t="shared" si="33"/>
        <v>7981.2000000000007</v>
      </c>
      <c r="K229" s="15">
        <f t="shared" si="34"/>
        <v>1596.24</v>
      </c>
      <c r="L229" s="12">
        <v>200</v>
      </c>
      <c r="M229" s="12">
        <f t="shared" si="35"/>
        <v>208</v>
      </c>
      <c r="N229" s="15">
        <v>2</v>
      </c>
      <c r="O229" s="15">
        <f t="shared" si="36"/>
        <v>63.95192307692308</v>
      </c>
      <c r="P229" s="15">
        <f t="shared" si="37"/>
        <v>127.90384615384616</v>
      </c>
      <c r="Q229" s="15">
        <f t="shared" si="38"/>
        <v>255.80769230769232</v>
      </c>
      <c r="R229" s="12">
        <v>29170</v>
      </c>
      <c r="S229" s="15">
        <f t="shared" si="39"/>
        <v>33089</v>
      </c>
      <c r="T229" s="20">
        <f>S229/median_percentile!$B$1</f>
        <v>0.65654731787652409</v>
      </c>
      <c r="U229" s="24" t="str" cm="1">
        <f t="array" ref="U229">_xlfn.IFS(T229&lt;1,"underpaid",T229&gt;1,"overpaid",T229=1,"median pay")</f>
        <v>underpaid</v>
      </c>
      <c r="V229" s="5"/>
    </row>
    <row r="230" spans="1:22" x14ac:dyDescent="0.3">
      <c r="A230" s="21" t="s">
        <v>241</v>
      </c>
      <c r="B230" s="8" t="s">
        <v>1240</v>
      </c>
      <c r="C230" s="8" t="s">
        <v>2015</v>
      </c>
      <c r="D230" s="9">
        <v>45890</v>
      </c>
      <c r="E230" s="10">
        <f t="shared" si="30"/>
        <v>607968</v>
      </c>
      <c r="F230" s="8">
        <v>45835</v>
      </c>
      <c r="G230" s="8">
        <v>4829</v>
      </c>
      <c r="H230" s="11">
        <f t="shared" si="31"/>
        <v>22917.5</v>
      </c>
      <c r="I230" s="11">
        <f t="shared" si="32"/>
        <v>9167</v>
      </c>
      <c r="J230" s="11">
        <f t="shared" si="33"/>
        <v>13750.5</v>
      </c>
      <c r="K230" s="11">
        <f t="shared" si="34"/>
        <v>2750.1</v>
      </c>
      <c r="L230" s="8">
        <v>200</v>
      </c>
      <c r="M230" s="8">
        <f t="shared" si="35"/>
        <v>208</v>
      </c>
      <c r="N230" s="11">
        <v>1</v>
      </c>
      <c r="O230" s="11">
        <f t="shared" si="36"/>
        <v>110.18028846153847</v>
      </c>
      <c r="P230" s="11">
        <f t="shared" si="37"/>
        <v>220.36057692307693</v>
      </c>
      <c r="Q230" s="11">
        <f t="shared" si="38"/>
        <v>220.36057692307693</v>
      </c>
      <c r="R230" s="8">
        <v>48477</v>
      </c>
      <c r="S230" s="11">
        <f t="shared" si="39"/>
        <v>53306</v>
      </c>
      <c r="T230" s="20">
        <f>S230/median_percentile!$B$1</f>
        <v>1.057690209033999</v>
      </c>
      <c r="U230" s="24" t="str" cm="1">
        <f t="array" ref="U230">_xlfn.IFS(T230&lt;1,"underpaid",T230&gt;1,"overpaid",T230=1,"median pay")</f>
        <v>overpaid</v>
      </c>
      <c r="V230" s="5"/>
    </row>
    <row r="231" spans="1:22" x14ac:dyDescent="0.3">
      <c r="A231" s="22" t="s">
        <v>242</v>
      </c>
      <c r="B231" s="12" t="s">
        <v>1241</v>
      </c>
      <c r="C231" s="12" t="s">
        <v>2016</v>
      </c>
      <c r="D231" s="13">
        <v>43479</v>
      </c>
      <c r="E231" s="14">
        <f t="shared" si="30"/>
        <v>357336</v>
      </c>
      <c r="F231" s="12">
        <v>25162</v>
      </c>
      <c r="G231" s="12">
        <v>4616</v>
      </c>
      <c r="H231" s="15">
        <f t="shared" si="31"/>
        <v>12581</v>
      </c>
      <c r="I231" s="15">
        <f t="shared" si="32"/>
        <v>5032.4000000000005</v>
      </c>
      <c r="J231" s="15">
        <f t="shared" si="33"/>
        <v>7548.5999999999985</v>
      </c>
      <c r="K231" s="15">
        <f t="shared" si="34"/>
        <v>1509.72</v>
      </c>
      <c r="L231" s="12">
        <v>200</v>
      </c>
      <c r="M231" s="12">
        <f t="shared" si="35"/>
        <v>208</v>
      </c>
      <c r="N231" s="15">
        <v>0</v>
      </c>
      <c r="O231" s="15">
        <f t="shared" si="36"/>
        <v>60.48557692307692</v>
      </c>
      <c r="P231" s="15">
        <f t="shared" si="37"/>
        <v>120.97115384615384</v>
      </c>
      <c r="Q231" s="15">
        <f t="shared" si="38"/>
        <v>0</v>
      </c>
      <c r="R231" s="12">
        <v>28069</v>
      </c>
      <c r="S231" s="15">
        <f t="shared" si="39"/>
        <v>32685</v>
      </c>
      <c r="T231" s="20">
        <f>S231/median_percentile!$B$1</f>
        <v>0.64853120628590133</v>
      </c>
      <c r="U231" s="24" t="str" cm="1">
        <f t="array" ref="U231">_xlfn.IFS(T231&lt;1,"underpaid",T231&gt;1,"overpaid",T231=1,"median pay")</f>
        <v>underpaid</v>
      </c>
      <c r="V231" s="5"/>
    </row>
    <row r="232" spans="1:22" x14ac:dyDescent="0.3">
      <c r="A232" s="21" t="s">
        <v>243</v>
      </c>
      <c r="B232" s="8" t="s">
        <v>1242</v>
      </c>
      <c r="C232" s="8" t="s">
        <v>2014</v>
      </c>
      <c r="D232" s="9">
        <v>45758</v>
      </c>
      <c r="E232" s="10">
        <f t="shared" si="30"/>
        <v>631572</v>
      </c>
      <c r="F232" s="8">
        <v>46126</v>
      </c>
      <c r="G232" s="8">
        <v>6505</v>
      </c>
      <c r="H232" s="11">
        <f t="shared" si="31"/>
        <v>23063</v>
      </c>
      <c r="I232" s="11">
        <f t="shared" si="32"/>
        <v>9225.2000000000007</v>
      </c>
      <c r="J232" s="11">
        <f t="shared" si="33"/>
        <v>13837.8</v>
      </c>
      <c r="K232" s="11">
        <f t="shared" si="34"/>
        <v>2767.56</v>
      </c>
      <c r="L232" s="8">
        <v>200</v>
      </c>
      <c r="M232" s="8">
        <f t="shared" si="35"/>
        <v>208</v>
      </c>
      <c r="N232" s="11">
        <v>3</v>
      </c>
      <c r="O232" s="11">
        <f t="shared" si="36"/>
        <v>110.87980769230769</v>
      </c>
      <c r="P232" s="11">
        <f t="shared" si="37"/>
        <v>221.75961538461539</v>
      </c>
      <c r="Q232" s="11">
        <f t="shared" si="38"/>
        <v>665.27884615384619</v>
      </c>
      <c r="R232" s="8">
        <v>50048</v>
      </c>
      <c r="S232" s="11">
        <f t="shared" si="39"/>
        <v>56553</v>
      </c>
      <c r="T232" s="20">
        <f>S232/median_percentile!$B$1</f>
        <v>1.1221167296645733</v>
      </c>
      <c r="U232" s="24" t="str" cm="1">
        <f t="array" ref="U232">_xlfn.IFS(T232&lt;1,"underpaid",T232&gt;1,"overpaid",T232=1,"median pay")</f>
        <v>overpaid</v>
      </c>
      <c r="V232" s="5"/>
    </row>
    <row r="233" spans="1:22" x14ac:dyDescent="0.3">
      <c r="A233" s="22" t="s">
        <v>244</v>
      </c>
      <c r="B233" s="12" t="s">
        <v>1243</v>
      </c>
      <c r="C233" s="12" t="s">
        <v>2012</v>
      </c>
      <c r="D233" s="13">
        <v>45210</v>
      </c>
      <c r="E233" s="14">
        <f t="shared" si="30"/>
        <v>639984</v>
      </c>
      <c r="F233" s="12">
        <v>47614</v>
      </c>
      <c r="G233" s="12">
        <v>5718</v>
      </c>
      <c r="H233" s="15">
        <f t="shared" si="31"/>
        <v>23807</v>
      </c>
      <c r="I233" s="15">
        <f t="shared" si="32"/>
        <v>9522.8000000000011</v>
      </c>
      <c r="J233" s="15">
        <f t="shared" si="33"/>
        <v>14284.199999999997</v>
      </c>
      <c r="K233" s="15">
        <f t="shared" si="34"/>
        <v>2856.8399999999997</v>
      </c>
      <c r="L233" s="12">
        <v>200</v>
      </c>
      <c r="M233" s="12">
        <f t="shared" si="35"/>
        <v>208</v>
      </c>
      <c r="N233" s="15">
        <v>0</v>
      </c>
      <c r="O233" s="15">
        <f t="shared" si="36"/>
        <v>114.45673076923077</v>
      </c>
      <c r="P233" s="15">
        <f t="shared" si="37"/>
        <v>228.91346153846155</v>
      </c>
      <c r="Q233" s="15">
        <f t="shared" si="38"/>
        <v>0</v>
      </c>
      <c r="R233" s="12">
        <v>50276</v>
      </c>
      <c r="S233" s="15">
        <f t="shared" si="39"/>
        <v>55994</v>
      </c>
      <c r="T233" s="20">
        <f>S233/median_percentile!$B$1</f>
        <v>1.1110251297161622</v>
      </c>
      <c r="U233" s="24" t="str" cm="1">
        <f t="array" ref="U233">_xlfn.IFS(T233&lt;1,"underpaid",T233&gt;1,"overpaid",T233=1,"median pay")</f>
        <v>overpaid</v>
      </c>
      <c r="V233" s="5"/>
    </row>
    <row r="234" spans="1:22" x14ac:dyDescent="0.3">
      <c r="A234" s="21" t="s">
        <v>245</v>
      </c>
      <c r="B234" s="8" t="s">
        <v>1244</v>
      </c>
      <c r="C234" s="8" t="s">
        <v>2012</v>
      </c>
      <c r="D234" s="9">
        <v>45669</v>
      </c>
      <c r="E234" s="10">
        <f t="shared" si="30"/>
        <v>570072</v>
      </c>
      <c r="F234" s="8">
        <v>41455</v>
      </c>
      <c r="G234" s="8">
        <v>6051</v>
      </c>
      <c r="H234" s="11">
        <f t="shared" si="31"/>
        <v>20727.5</v>
      </c>
      <c r="I234" s="11">
        <f t="shared" si="32"/>
        <v>8291</v>
      </c>
      <c r="J234" s="11">
        <f t="shared" si="33"/>
        <v>12436.5</v>
      </c>
      <c r="K234" s="11">
        <f t="shared" si="34"/>
        <v>2487.2999999999997</v>
      </c>
      <c r="L234" s="8">
        <v>200</v>
      </c>
      <c r="M234" s="8">
        <f t="shared" si="35"/>
        <v>208</v>
      </c>
      <c r="N234" s="11">
        <v>5</v>
      </c>
      <c r="O234" s="11">
        <f t="shared" si="36"/>
        <v>99.651442307692307</v>
      </c>
      <c r="P234" s="11">
        <f t="shared" si="37"/>
        <v>199.30288461538461</v>
      </c>
      <c r="Q234" s="11">
        <f t="shared" si="38"/>
        <v>996.51442307692309</v>
      </c>
      <c r="R234" s="8">
        <v>45164</v>
      </c>
      <c r="S234" s="11">
        <f t="shared" si="39"/>
        <v>51215</v>
      </c>
      <c r="T234" s="20">
        <f>S234/median_percentile!$B$1</f>
        <v>1.0162008789944146</v>
      </c>
      <c r="U234" s="24" t="str" cm="1">
        <f t="array" ref="U234">_xlfn.IFS(T234&lt;1,"underpaid",T234&gt;1,"overpaid",T234=1,"median pay")</f>
        <v>overpaid</v>
      </c>
      <c r="V234" s="5"/>
    </row>
    <row r="235" spans="1:22" x14ac:dyDescent="0.3">
      <c r="A235" s="22" t="s">
        <v>246</v>
      </c>
      <c r="B235" s="12" t="s">
        <v>1245</v>
      </c>
      <c r="C235" s="12" t="s">
        <v>2011</v>
      </c>
      <c r="D235" s="13">
        <v>43603</v>
      </c>
      <c r="E235" s="14">
        <f t="shared" si="30"/>
        <v>584568</v>
      </c>
      <c r="F235" s="12">
        <v>43940</v>
      </c>
      <c r="G235" s="12">
        <v>4774</v>
      </c>
      <c r="H235" s="15">
        <f t="shared" si="31"/>
        <v>21970</v>
      </c>
      <c r="I235" s="15">
        <f t="shared" si="32"/>
        <v>8788</v>
      </c>
      <c r="J235" s="15">
        <f t="shared" si="33"/>
        <v>13182</v>
      </c>
      <c r="K235" s="15">
        <f t="shared" si="34"/>
        <v>2636.4</v>
      </c>
      <c r="L235" s="12">
        <v>200</v>
      </c>
      <c r="M235" s="12">
        <f t="shared" si="35"/>
        <v>208</v>
      </c>
      <c r="N235" s="15">
        <v>3</v>
      </c>
      <c r="O235" s="15">
        <f t="shared" si="36"/>
        <v>105.625</v>
      </c>
      <c r="P235" s="15">
        <f t="shared" si="37"/>
        <v>211.25</v>
      </c>
      <c r="Q235" s="15">
        <f t="shared" si="38"/>
        <v>633.75</v>
      </c>
      <c r="R235" s="12">
        <v>45878</v>
      </c>
      <c r="S235" s="15">
        <f t="shared" si="39"/>
        <v>50652</v>
      </c>
      <c r="T235" s="20">
        <f>S235/median_percentile!$B$1</f>
        <v>1.005029911604512</v>
      </c>
      <c r="U235" s="24" t="str" cm="1">
        <f t="array" ref="U235">_xlfn.IFS(T235&lt;1,"underpaid",T235&gt;1,"overpaid",T235=1,"median pay")</f>
        <v>overpaid</v>
      </c>
      <c r="V235" s="5"/>
    </row>
    <row r="236" spans="1:22" x14ac:dyDescent="0.3">
      <c r="A236" s="21" t="s">
        <v>247</v>
      </c>
      <c r="B236" s="8" t="s">
        <v>1246</v>
      </c>
      <c r="C236" s="8" t="s">
        <v>2012</v>
      </c>
      <c r="D236" s="9">
        <v>45844</v>
      </c>
      <c r="E236" s="10">
        <f t="shared" si="30"/>
        <v>457044</v>
      </c>
      <c r="F236" s="8">
        <v>31909</v>
      </c>
      <c r="G236" s="8">
        <v>6178</v>
      </c>
      <c r="H236" s="11">
        <f t="shared" si="31"/>
        <v>15954.5</v>
      </c>
      <c r="I236" s="11">
        <f t="shared" si="32"/>
        <v>6381.8</v>
      </c>
      <c r="J236" s="11">
        <f t="shared" si="33"/>
        <v>9572.7000000000007</v>
      </c>
      <c r="K236" s="11">
        <f t="shared" si="34"/>
        <v>1914.54</v>
      </c>
      <c r="L236" s="8">
        <v>200</v>
      </c>
      <c r="M236" s="8">
        <f t="shared" si="35"/>
        <v>208</v>
      </c>
      <c r="N236" s="11">
        <v>1</v>
      </c>
      <c r="O236" s="11">
        <f t="shared" si="36"/>
        <v>76.70432692307692</v>
      </c>
      <c r="P236" s="11">
        <f t="shared" si="37"/>
        <v>153.40865384615384</v>
      </c>
      <c r="Q236" s="11">
        <f t="shared" si="38"/>
        <v>153.40865384615384</v>
      </c>
      <c r="R236" s="8">
        <v>35973</v>
      </c>
      <c r="S236" s="11">
        <f t="shared" si="39"/>
        <v>42151</v>
      </c>
      <c r="T236" s="20">
        <f>S236/median_percentile!$B$1</f>
        <v>0.83635425657509643</v>
      </c>
      <c r="U236" s="24" t="str" cm="1">
        <f t="array" ref="U236">_xlfn.IFS(T236&lt;1,"underpaid",T236&gt;1,"overpaid",T236=1,"median pay")</f>
        <v>underpaid</v>
      </c>
      <c r="V236" s="5"/>
    </row>
    <row r="237" spans="1:22" x14ac:dyDescent="0.3">
      <c r="A237" s="22" t="s">
        <v>248</v>
      </c>
      <c r="B237" s="12" t="s">
        <v>1247</v>
      </c>
      <c r="C237" s="12" t="s">
        <v>2011</v>
      </c>
      <c r="D237" s="13">
        <v>44449</v>
      </c>
      <c r="E237" s="14">
        <f t="shared" si="30"/>
        <v>573912</v>
      </c>
      <c r="F237" s="12">
        <v>42702</v>
      </c>
      <c r="G237" s="12">
        <v>5124</v>
      </c>
      <c r="H237" s="15">
        <f t="shared" si="31"/>
        <v>21351</v>
      </c>
      <c r="I237" s="15">
        <f t="shared" si="32"/>
        <v>8540.4</v>
      </c>
      <c r="J237" s="15">
        <f t="shared" si="33"/>
        <v>12810.599999999999</v>
      </c>
      <c r="K237" s="15">
        <f t="shared" si="34"/>
        <v>2562.12</v>
      </c>
      <c r="L237" s="12">
        <v>200</v>
      </c>
      <c r="M237" s="12">
        <f t="shared" si="35"/>
        <v>208</v>
      </c>
      <c r="N237" s="15">
        <v>0</v>
      </c>
      <c r="O237" s="15">
        <f t="shared" si="36"/>
        <v>102.64903846153847</v>
      </c>
      <c r="P237" s="15">
        <f t="shared" si="37"/>
        <v>205.29807692307693</v>
      </c>
      <c r="Q237" s="15">
        <f t="shared" si="38"/>
        <v>0</v>
      </c>
      <c r="R237" s="12">
        <v>45775</v>
      </c>
      <c r="S237" s="15">
        <f t="shared" si="39"/>
        <v>50899</v>
      </c>
      <c r="T237" s="20">
        <f>S237/median_percentile!$B$1</f>
        <v>1.0099308511166007</v>
      </c>
      <c r="U237" s="24" t="str" cm="1">
        <f t="array" ref="U237">_xlfn.IFS(T237&lt;1,"underpaid",T237&gt;1,"overpaid",T237=1,"median pay")</f>
        <v>overpaid</v>
      </c>
      <c r="V237" s="5"/>
    </row>
    <row r="238" spans="1:22" x14ac:dyDescent="0.3">
      <c r="A238" s="21" t="s">
        <v>249</v>
      </c>
      <c r="B238" s="8" t="s">
        <v>1248</v>
      </c>
      <c r="C238" s="8" t="s">
        <v>2015</v>
      </c>
      <c r="D238" s="9">
        <v>43870</v>
      </c>
      <c r="E238" s="10">
        <f t="shared" si="30"/>
        <v>524712</v>
      </c>
      <c r="F238" s="8">
        <v>38163</v>
      </c>
      <c r="G238" s="8">
        <v>5563</v>
      </c>
      <c r="H238" s="11">
        <f t="shared" si="31"/>
        <v>19081.5</v>
      </c>
      <c r="I238" s="11">
        <f t="shared" si="32"/>
        <v>7632.6</v>
      </c>
      <c r="J238" s="11">
        <f t="shared" si="33"/>
        <v>11448.900000000001</v>
      </c>
      <c r="K238" s="11">
        <f t="shared" si="34"/>
        <v>2289.7799999999997</v>
      </c>
      <c r="L238" s="8">
        <v>200</v>
      </c>
      <c r="M238" s="8">
        <f t="shared" si="35"/>
        <v>208</v>
      </c>
      <c r="N238" s="11">
        <v>1</v>
      </c>
      <c r="O238" s="11">
        <f t="shared" si="36"/>
        <v>91.737980769230774</v>
      </c>
      <c r="P238" s="11">
        <f t="shared" si="37"/>
        <v>183.47596153846155</v>
      </c>
      <c r="Q238" s="11">
        <f t="shared" si="38"/>
        <v>183.47596153846155</v>
      </c>
      <c r="R238" s="8">
        <v>41237</v>
      </c>
      <c r="S238" s="11">
        <f t="shared" si="39"/>
        <v>46800</v>
      </c>
      <c r="T238" s="20">
        <f>S238/median_percentile!$B$1</f>
        <v>0.92859906544837645</v>
      </c>
      <c r="U238" s="24" t="str" cm="1">
        <f t="array" ref="U238">_xlfn.IFS(T238&lt;1,"underpaid",T238&gt;1,"overpaid",T238=1,"median pay")</f>
        <v>underpaid</v>
      </c>
      <c r="V238" s="5"/>
    </row>
    <row r="239" spans="1:22" x14ac:dyDescent="0.3">
      <c r="A239" s="22" t="s">
        <v>250</v>
      </c>
      <c r="B239" s="12" t="s">
        <v>1249</v>
      </c>
      <c r="C239" s="12" t="s">
        <v>2015</v>
      </c>
      <c r="D239" s="13">
        <v>43614</v>
      </c>
      <c r="E239" s="14">
        <f t="shared" si="30"/>
        <v>625092</v>
      </c>
      <c r="F239" s="12">
        <v>45836</v>
      </c>
      <c r="G239" s="12">
        <v>6255</v>
      </c>
      <c r="H239" s="15">
        <f t="shared" si="31"/>
        <v>22918</v>
      </c>
      <c r="I239" s="15">
        <f t="shared" si="32"/>
        <v>9167.2000000000007</v>
      </c>
      <c r="J239" s="15">
        <f t="shared" si="33"/>
        <v>13750.8</v>
      </c>
      <c r="K239" s="15">
        <f t="shared" si="34"/>
        <v>2750.16</v>
      </c>
      <c r="L239" s="12">
        <v>200</v>
      </c>
      <c r="M239" s="12">
        <f t="shared" si="35"/>
        <v>208</v>
      </c>
      <c r="N239" s="15">
        <v>4</v>
      </c>
      <c r="O239" s="15">
        <f t="shared" si="36"/>
        <v>110.18269230769231</v>
      </c>
      <c r="P239" s="15">
        <f t="shared" si="37"/>
        <v>220.36538461538461</v>
      </c>
      <c r="Q239" s="15">
        <f t="shared" si="38"/>
        <v>881.46153846153845</v>
      </c>
      <c r="R239" s="12">
        <v>49141</v>
      </c>
      <c r="S239" s="15">
        <f t="shared" si="39"/>
        <v>55396</v>
      </c>
      <c r="T239" s="20">
        <f>S239/median_percentile!$B$1</f>
        <v>1.0991596972132107</v>
      </c>
      <c r="U239" s="24" t="str" cm="1">
        <f t="array" ref="U239">_xlfn.IFS(T239&lt;1,"underpaid",T239&gt;1,"overpaid",T239=1,"median pay")</f>
        <v>overpaid</v>
      </c>
      <c r="V239" s="5"/>
    </row>
    <row r="240" spans="1:22" x14ac:dyDescent="0.3">
      <c r="A240" s="21" t="s">
        <v>251</v>
      </c>
      <c r="B240" s="8" t="s">
        <v>1250</v>
      </c>
      <c r="C240" s="8" t="s">
        <v>2013</v>
      </c>
      <c r="D240" s="9">
        <v>44907</v>
      </c>
      <c r="E240" s="10">
        <f t="shared" si="30"/>
        <v>648168</v>
      </c>
      <c r="F240" s="8">
        <v>46301</v>
      </c>
      <c r="G240" s="8">
        <v>7713</v>
      </c>
      <c r="H240" s="11">
        <f t="shared" si="31"/>
        <v>23150.5</v>
      </c>
      <c r="I240" s="11">
        <f t="shared" si="32"/>
        <v>9260.2000000000007</v>
      </c>
      <c r="J240" s="11">
        <f t="shared" si="33"/>
        <v>13890.3</v>
      </c>
      <c r="K240" s="11">
        <f t="shared" si="34"/>
        <v>2778.06</v>
      </c>
      <c r="L240" s="8">
        <v>200</v>
      </c>
      <c r="M240" s="8">
        <f t="shared" si="35"/>
        <v>208</v>
      </c>
      <c r="N240" s="11">
        <v>2</v>
      </c>
      <c r="O240" s="11">
        <f t="shared" si="36"/>
        <v>111.30048076923077</v>
      </c>
      <c r="P240" s="11">
        <f t="shared" si="37"/>
        <v>222.60096153846155</v>
      </c>
      <c r="Q240" s="11">
        <f t="shared" si="38"/>
        <v>445.20192307692309</v>
      </c>
      <c r="R240" s="8">
        <v>51421</v>
      </c>
      <c r="S240" s="11">
        <f t="shared" si="39"/>
        <v>59134</v>
      </c>
      <c r="T240" s="20">
        <f>S240/median_percentile!$B$1</f>
        <v>1.1733285712868438</v>
      </c>
      <c r="U240" s="24" t="str" cm="1">
        <f t="array" ref="U240">_xlfn.IFS(T240&lt;1,"underpaid",T240&gt;1,"overpaid",T240=1,"median pay")</f>
        <v>overpaid</v>
      </c>
      <c r="V240" s="5"/>
    </row>
    <row r="241" spans="1:22" x14ac:dyDescent="0.3">
      <c r="A241" s="22" t="s">
        <v>252</v>
      </c>
      <c r="B241" s="12" t="s">
        <v>1251</v>
      </c>
      <c r="C241" s="12" t="s">
        <v>2012</v>
      </c>
      <c r="D241" s="13">
        <v>43761</v>
      </c>
      <c r="E241" s="14">
        <f t="shared" si="30"/>
        <v>503124</v>
      </c>
      <c r="F241" s="12">
        <v>37708</v>
      </c>
      <c r="G241" s="12">
        <v>4219</v>
      </c>
      <c r="H241" s="15">
        <f t="shared" si="31"/>
        <v>18854</v>
      </c>
      <c r="I241" s="15">
        <f t="shared" si="32"/>
        <v>7541.6</v>
      </c>
      <c r="J241" s="15">
        <f t="shared" si="33"/>
        <v>11312.400000000001</v>
      </c>
      <c r="K241" s="15">
        <f t="shared" si="34"/>
        <v>2262.48</v>
      </c>
      <c r="L241" s="12">
        <v>200</v>
      </c>
      <c r="M241" s="12">
        <f t="shared" si="35"/>
        <v>208</v>
      </c>
      <c r="N241" s="15">
        <v>0</v>
      </c>
      <c r="O241" s="15">
        <f t="shared" si="36"/>
        <v>90.644230769230774</v>
      </c>
      <c r="P241" s="15">
        <f t="shared" si="37"/>
        <v>181.28846153846155</v>
      </c>
      <c r="Q241" s="15">
        <f t="shared" si="38"/>
        <v>0</v>
      </c>
      <c r="R241" s="12">
        <v>40093</v>
      </c>
      <c r="S241" s="15">
        <f t="shared" si="39"/>
        <v>44312</v>
      </c>
      <c r="T241" s="20">
        <f>S241/median_percentile!$B$1</f>
        <v>0.87923251684077897</v>
      </c>
      <c r="U241" s="24" t="str" cm="1">
        <f t="array" ref="U241">_xlfn.IFS(T241&lt;1,"underpaid",T241&gt;1,"overpaid",T241=1,"median pay")</f>
        <v>underpaid</v>
      </c>
      <c r="V241" s="5"/>
    </row>
    <row r="242" spans="1:22" x14ac:dyDescent="0.3">
      <c r="A242" s="21" t="s">
        <v>253</v>
      </c>
      <c r="B242" s="8" t="s">
        <v>1252</v>
      </c>
      <c r="C242" s="8" t="s">
        <v>2012</v>
      </c>
      <c r="D242" s="9">
        <v>43910</v>
      </c>
      <c r="E242" s="10">
        <f t="shared" si="30"/>
        <v>427620</v>
      </c>
      <c r="F242" s="8">
        <v>31056</v>
      </c>
      <c r="G242" s="8">
        <v>4579</v>
      </c>
      <c r="H242" s="11">
        <f t="shared" si="31"/>
        <v>15528</v>
      </c>
      <c r="I242" s="11">
        <f t="shared" si="32"/>
        <v>6211.2000000000007</v>
      </c>
      <c r="J242" s="11">
        <f t="shared" si="33"/>
        <v>9316.7999999999993</v>
      </c>
      <c r="K242" s="11">
        <f t="shared" si="34"/>
        <v>1863.36</v>
      </c>
      <c r="L242" s="8">
        <v>200</v>
      </c>
      <c r="M242" s="8">
        <f t="shared" si="35"/>
        <v>208</v>
      </c>
      <c r="N242" s="11">
        <v>3</v>
      </c>
      <c r="O242" s="11">
        <f t="shared" si="36"/>
        <v>74.65384615384616</v>
      </c>
      <c r="P242" s="11">
        <f t="shared" si="37"/>
        <v>149.30769230769232</v>
      </c>
      <c r="Q242" s="11">
        <f t="shared" si="38"/>
        <v>447.92307692307696</v>
      </c>
      <c r="R242" s="8">
        <v>33572</v>
      </c>
      <c r="S242" s="11">
        <f t="shared" si="39"/>
        <v>38151</v>
      </c>
      <c r="T242" s="20">
        <f>S242/median_percentile!$B$1</f>
        <v>0.75698681508378229</v>
      </c>
      <c r="U242" s="24" t="str" cm="1">
        <f t="array" ref="U242">_xlfn.IFS(T242&lt;1,"underpaid",T242&gt;1,"overpaid",T242=1,"median pay")</f>
        <v>underpaid</v>
      </c>
      <c r="V242" s="5"/>
    </row>
    <row r="243" spans="1:22" x14ac:dyDescent="0.3">
      <c r="A243" s="22" t="s">
        <v>254</v>
      </c>
      <c r="B243" s="12" t="s">
        <v>1253</v>
      </c>
      <c r="C243" s="12" t="s">
        <v>2015</v>
      </c>
      <c r="D243" s="13">
        <v>44609</v>
      </c>
      <c r="E243" s="14">
        <f t="shared" si="30"/>
        <v>589284</v>
      </c>
      <c r="F243" s="12">
        <v>41321</v>
      </c>
      <c r="G243" s="12">
        <v>7786</v>
      </c>
      <c r="H243" s="15">
        <f t="shared" si="31"/>
        <v>20660.5</v>
      </c>
      <c r="I243" s="15">
        <f t="shared" si="32"/>
        <v>8264.2000000000007</v>
      </c>
      <c r="J243" s="15">
        <f t="shared" si="33"/>
        <v>12396.3</v>
      </c>
      <c r="K243" s="15">
        <f t="shared" si="34"/>
        <v>2479.2599999999998</v>
      </c>
      <c r="L243" s="12">
        <v>200</v>
      </c>
      <c r="M243" s="12">
        <f t="shared" si="35"/>
        <v>208</v>
      </c>
      <c r="N243" s="15">
        <v>0</v>
      </c>
      <c r="O243" s="15">
        <f t="shared" si="36"/>
        <v>99.32932692307692</v>
      </c>
      <c r="P243" s="15">
        <f t="shared" si="37"/>
        <v>198.65865384615384</v>
      </c>
      <c r="Q243" s="15">
        <f t="shared" si="38"/>
        <v>0</v>
      </c>
      <c r="R243" s="12">
        <v>46428</v>
      </c>
      <c r="S243" s="15">
        <f t="shared" si="39"/>
        <v>54214</v>
      </c>
      <c r="T243" s="20">
        <f>S243/median_percentile!$B$1</f>
        <v>1.0757066182525274</v>
      </c>
      <c r="U243" s="24" t="str" cm="1">
        <f t="array" ref="U243">_xlfn.IFS(T243&lt;1,"underpaid",T243&gt;1,"overpaid",T243=1,"median pay")</f>
        <v>overpaid</v>
      </c>
      <c r="V243" s="5"/>
    </row>
    <row r="244" spans="1:22" x14ac:dyDescent="0.3">
      <c r="A244" s="21" t="s">
        <v>255</v>
      </c>
      <c r="B244" s="8" t="s">
        <v>1254</v>
      </c>
      <c r="C244" s="8" t="s">
        <v>2013</v>
      </c>
      <c r="D244" s="9">
        <v>43614</v>
      </c>
      <c r="E244" s="10">
        <f t="shared" si="30"/>
        <v>882576</v>
      </c>
      <c r="F244" s="8">
        <v>64353</v>
      </c>
      <c r="G244" s="8">
        <v>9195</v>
      </c>
      <c r="H244" s="11">
        <f t="shared" si="31"/>
        <v>32176.5</v>
      </c>
      <c r="I244" s="11">
        <f t="shared" si="32"/>
        <v>12870.6</v>
      </c>
      <c r="J244" s="11">
        <f t="shared" si="33"/>
        <v>19305.900000000001</v>
      </c>
      <c r="K244" s="11">
        <f t="shared" si="34"/>
        <v>3861.18</v>
      </c>
      <c r="L244" s="8">
        <v>200</v>
      </c>
      <c r="M244" s="8">
        <f t="shared" si="35"/>
        <v>208</v>
      </c>
      <c r="N244" s="11">
        <v>3</v>
      </c>
      <c r="O244" s="11">
        <f t="shared" si="36"/>
        <v>154.69471153846155</v>
      </c>
      <c r="P244" s="11">
        <f t="shared" si="37"/>
        <v>309.38942307692309</v>
      </c>
      <c r="Q244" s="11">
        <f t="shared" si="38"/>
        <v>928.16826923076928</v>
      </c>
      <c r="R244" s="8">
        <v>69487</v>
      </c>
      <c r="S244" s="11">
        <f t="shared" si="39"/>
        <v>78682</v>
      </c>
      <c r="T244" s="20">
        <f>S244/median_percentile!$B$1</f>
        <v>1.5611972578548965</v>
      </c>
      <c r="U244" s="24" t="str" cm="1">
        <f t="array" ref="U244">_xlfn.IFS(T244&lt;1,"underpaid",T244&gt;1,"overpaid",T244=1,"median pay")</f>
        <v>overpaid</v>
      </c>
      <c r="V244" s="5"/>
    </row>
    <row r="245" spans="1:22" x14ac:dyDescent="0.3">
      <c r="A245" s="22" t="s">
        <v>256</v>
      </c>
      <c r="B245" s="12" t="s">
        <v>1255</v>
      </c>
      <c r="C245" s="12" t="s">
        <v>2013</v>
      </c>
      <c r="D245" s="13">
        <v>43746</v>
      </c>
      <c r="E245" s="14">
        <f t="shared" si="30"/>
        <v>485820</v>
      </c>
      <c r="F245" s="12">
        <v>35839</v>
      </c>
      <c r="G245" s="12">
        <v>4646</v>
      </c>
      <c r="H245" s="15">
        <f t="shared" si="31"/>
        <v>17919.5</v>
      </c>
      <c r="I245" s="15">
        <f t="shared" si="32"/>
        <v>7167.8</v>
      </c>
      <c r="J245" s="15">
        <f t="shared" si="33"/>
        <v>10751.7</v>
      </c>
      <c r="K245" s="15">
        <f t="shared" si="34"/>
        <v>2150.34</v>
      </c>
      <c r="L245" s="12">
        <v>200</v>
      </c>
      <c r="M245" s="12">
        <f t="shared" si="35"/>
        <v>208</v>
      </c>
      <c r="N245" s="15">
        <v>4</v>
      </c>
      <c r="O245" s="15">
        <f t="shared" si="36"/>
        <v>86.151442307692307</v>
      </c>
      <c r="P245" s="15">
        <f t="shared" si="37"/>
        <v>172.30288461538461</v>
      </c>
      <c r="Q245" s="15">
        <f t="shared" si="38"/>
        <v>689.21153846153845</v>
      </c>
      <c r="R245" s="12">
        <v>38135</v>
      </c>
      <c r="S245" s="15">
        <f t="shared" si="39"/>
        <v>42781</v>
      </c>
      <c r="T245" s="20">
        <f>S245/median_percentile!$B$1</f>
        <v>0.84885462860997851</v>
      </c>
      <c r="U245" s="24" t="str" cm="1">
        <f t="array" ref="U245">_xlfn.IFS(T245&lt;1,"underpaid",T245&gt;1,"overpaid",T245=1,"median pay")</f>
        <v>underpaid</v>
      </c>
      <c r="V245" s="5"/>
    </row>
    <row r="246" spans="1:22" x14ac:dyDescent="0.3">
      <c r="A246" s="21" t="s">
        <v>257</v>
      </c>
      <c r="B246" s="8" t="s">
        <v>1256</v>
      </c>
      <c r="C246" s="8" t="s">
        <v>2012</v>
      </c>
      <c r="D246" s="9">
        <v>45694</v>
      </c>
      <c r="E246" s="10">
        <f t="shared" si="30"/>
        <v>503520</v>
      </c>
      <c r="F246" s="8">
        <v>35851</v>
      </c>
      <c r="G246" s="8">
        <v>6109</v>
      </c>
      <c r="H246" s="11">
        <f t="shared" si="31"/>
        <v>17925.5</v>
      </c>
      <c r="I246" s="11">
        <f t="shared" si="32"/>
        <v>7170.2000000000007</v>
      </c>
      <c r="J246" s="11">
        <f t="shared" si="33"/>
        <v>10755.3</v>
      </c>
      <c r="K246" s="11">
        <f t="shared" si="34"/>
        <v>2151.06</v>
      </c>
      <c r="L246" s="8">
        <v>200</v>
      </c>
      <c r="M246" s="8">
        <f t="shared" si="35"/>
        <v>208</v>
      </c>
      <c r="N246" s="11">
        <v>0</v>
      </c>
      <c r="O246" s="11">
        <f t="shared" si="36"/>
        <v>86.180288461538467</v>
      </c>
      <c r="P246" s="11">
        <f t="shared" si="37"/>
        <v>172.36057692307693</v>
      </c>
      <c r="Q246" s="11">
        <f t="shared" si="38"/>
        <v>0</v>
      </c>
      <c r="R246" s="8">
        <v>39907</v>
      </c>
      <c r="S246" s="11">
        <f t="shared" si="39"/>
        <v>46016</v>
      </c>
      <c r="T246" s="20">
        <f>S246/median_percentile!$B$1</f>
        <v>0.91304304691607885</v>
      </c>
      <c r="U246" s="24" t="str" cm="1">
        <f t="array" ref="U246">_xlfn.IFS(T246&lt;1,"underpaid",T246&gt;1,"overpaid",T246=1,"median pay")</f>
        <v>underpaid</v>
      </c>
      <c r="V246" s="5"/>
    </row>
    <row r="247" spans="1:22" x14ac:dyDescent="0.3">
      <c r="A247" s="22" t="s">
        <v>258</v>
      </c>
      <c r="B247" s="12" t="s">
        <v>1257</v>
      </c>
      <c r="C247" s="12" t="s">
        <v>2014</v>
      </c>
      <c r="D247" s="13">
        <v>45264</v>
      </c>
      <c r="E247" s="14">
        <f t="shared" si="30"/>
        <v>827448</v>
      </c>
      <c r="F247" s="12">
        <v>61975</v>
      </c>
      <c r="G247" s="12">
        <v>6979</v>
      </c>
      <c r="H247" s="15">
        <f t="shared" si="31"/>
        <v>30987.5</v>
      </c>
      <c r="I247" s="15">
        <f t="shared" si="32"/>
        <v>12395</v>
      </c>
      <c r="J247" s="15">
        <f t="shared" si="33"/>
        <v>18592.5</v>
      </c>
      <c r="K247" s="15">
        <f t="shared" si="34"/>
        <v>3718.5</v>
      </c>
      <c r="L247" s="12">
        <v>200</v>
      </c>
      <c r="M247" s="12">
        <f t="shared" si="35"/>
        <v>208</v>
      </c>
      <c r="N247" s="15">
        <v>0</v>
      </c>
      <c r="O247" s="15">
        <f t="shared" si="36"/>
        <v>148.97836538461539</v>
      </c>
      <c r="P247" s="15">
        <f t="shared" si="37"/>
        <v>297.95673076923077</v>
      </c>
      <c r="Q247" s="15">
        <f t="shared" si="38"/>
        <v>0</v>
      </c>
      <c r="R247" s="12">
        <v>65552</v>
      </c>
      <c r="S247" s="15">
        <f t="shared" si="39"/>
        <v>72531</v>
      </c>
      <c r="T247" s="20">
        <f>S247/median_percentile!$B$1</f>
        <v>1.4391499747016281</v>
      </c>
      <c r="U247" s="24" t="str" cm="1">
        <f t="array" ref="U247">_xlfn.IFS(T247&lt;1,"underpaid",T247&gt;1,"overpaid",T247=1,"median pay")</f>
        <v>overpaid</v>
      </c>
      <c r="V247" s="5"/>
    </row>
    <row r="248" spans="1:22" x14ac:dyDescent="0.3">
      <c r="A248" s="21" t="s">
        <v>259</v>
      </c>
      <c r="B248" s="8" t="s">
        <v>1258</v>
      </c>
      <c r="C248" s="8" t="s">
        <v>2013</v>
      </c>
      <c r="D248" s="9">
        <v>43761</v>
      </c>
      <c r="E248" s="10">
        <f t="shared" si="30"/>
        <v>850632</v>
      </c>
      <c r="F248" s="8">
        <v>62238</v>
      </c>
      <c r="G248" s="8">
        <v>8648</v>
      </c>
      <c r="H248" s="11">
        <f t="shared" si="31"/>
        <v>31119</v>
      </c>
      <c r="I248" s="11">
        <f t="shared" si="32"/>
        <v>12447.6</v>
      </c>
      <c r="J248" s="11">
        <f t="shared" si="33"/>
        <v>18671.400000000001</v>
      </c>
      <c r="K248" s="11">
        <f t="shared" si="34"/>
        <v>3734.2799999999997</v>
      </c>
      <c r="L248" s="8">
        <v>200</v>
      </c>
      <c r="M248" s="8">
        <f t="shared" si="35"/>
        <v>208</v>
      </c>
      <c r="N248" s="11">
        <v>0</v>
      </c>
      <c r="O248" s="11">
        <f t="shared" si="36"/>
        <v>149.61057692307693</v>
      </c>
      <c r="P248" s="11">
        <f t="shared" si="37"/>
        <v>299.22115384615387</v>
      </c>
      <c r="Q248" s="11">
        <f t="shared" si="38"/>
        <v>0</v>
      </c>
      <c r="R248" s="8">
        <v>67470</v>
      </c>
      <c r="S248" s="11">
        <f t="shared" si="39"/>
        <v>76118</v>
      </c>
      <c r="T248" s="20">
        <f>S248/median_percentile!$B$1</f>
        <v>1.5103227278589642</v>
      </c>
      <c r="U248" s="24" t="str" cm="1">
        <f t="array" ref="U248">_xlfn.IFS(T248&lt;1,"underpaid",T248&gt;1,"overpaid",T248=1,"median pay")</f>
        <v>overpaid</v>
      </c>
      <c r="V248" s="5"/>
    </row>
    <row r="249" spans="1:22" x14ac:dyDescent="0.3">
      <c r="A249" s="22" t="s">
        <v>260</v>
      </c>
      <c r="B249" s="12" t="s">
        <v>1259</v>
      </c>
      <c r="C249" s="12" t="s">
        <v>2012</v>
      </c>
      <c r="D249" s="13">
        <v>45859</v>
      </c>
      <c r="E249" s="14">
        <f t="shared" si="30"/>
        <v>516732</v>
      </c>
      <c r="F249" s="12">
        <v>37780</v>
      </c>
      <c r="G249" s="12">
        <v>5281</v>
      </c>
      <c r="H249" s="15">
        <f t="shared" si="31"/>
        <v>18890</v>
      </c>
      <c r="I249" s="15">
        <f t="shared" si="32"/>
        <v>7556</v>
      </c>
      <c r="J249" s="15">
        <f t="shared" si="33"/>
        <v>11334</v>
      </c>
      <c r="K249" s="15">
        <f t="shared" si="34"/>
        <v>2266.7999999999997</v>
      </c>
      <c r="L249" s="12">
        <v>200</v>
      </c>
      <c r="M249" s="12">
        <f t="shared" si="35"/>
        <v>208</v>
      </c>
      <c r="N249" s="15">
        <v>2</v>
      </c>
      <c r="O249" s="15">
        <f t="shared" si="36"/>
        <v>90.817307692307693</v>
      </c>
      <c r="P249" s="15">
        <f t="shared" si="37"/>
        <v>181.63461538461539</v>
      </c>
      <c r="Q249" s="15">
        <f t="shared" si="38"/>
        <v>363.26923076923077</v>
      </c>
      <c r="R249" s="12">
        <v>40909</v>
      </c>
      <c r="S249" s="15">
        <f t="shared" si="39"/>
        <v>46190</v>
      </c>
      <c r="T249" s="20">
        <f>S249/median_percentile!$B$1</f>
        <v>0.91649553062095102</v>
      </c>
      <c r="U249" s="24" t="str" cm="1">
        <f t="array" ref="U249">_xlfn.IFS(T249&lt;1,"underpaid",T249&gt;1,"overpaid",T249=1,"median pay")</f>
        <v>underpaid</v>
      </c>
      <c r="V249" s="5"/>
    </row>
    <row r="250" spans="1:22" x14ac:dyDescent="0.3">
      <c r="A250" s="21" t="s">
        <v>261</v>
      </c>
      <c r="B250" s="8" t="s">
        <v>1260</v>
      </c>
      <c r="C250" s="8" t="s">
        <v>2016</v>
      </c>
      <c r="D250" s="9">
        <v>44114</v>
      </c>
      <c r="E250" s="10">
        <f t="shared" si="30"/>
        <v>501096</v>
      </c>
      <c r="F250" s="8">
        <v>37753</v>
      </c>
      <c r="G250" s="8">
        <v>4005</v>
      </c>
      <c r="H250" s="11">
        <f t="shared" si="31"/>
        <v>18876.5</v>
      </c>
      <c r="I250" s="11">
        <f t="shared" si="32"/>
        <v>7550.6</v>
      </c>
      <c r="J250" s="11">
        <f t="shared" si="33"/>
        <v>11325.900000000001</v>
      </c>
      <c r="K250" s="11">
        <f t="shared" si="34"/>
        <v>2265.1799999999998</v>
      </c>
      <c r="L250" s="8">
        <v>200</v>
      </c>
      <c r="M250" s="8">
        <f t="shared" si="35"/>
        <v>208</v>
      </c>
      <c r="N250" s="11">
        <v>0</v>
      </c>
      <c r="O250" s="11">
        <f t="shared" si="36"/>
        <v>90.75240384615384</v>
      </c>
      <c r="P250" s="11">
        <f t="shared" si="37"/>
        <v>181.50480769230768</v>
      </c>
      <c r="Q250" s="11">
        <f t="shared" si="38"/>
        <v>0</v>
      </c>
      <c r="R250" s="8">
        <v>39293</v>
      </c>
      <c r="S250" s="11">
        <f t="shared" si="39"/>
        <v>43298</v>
      </c>
      <c r="T250" s="20">
        <f>S250/median_percentile!$B$1</f>
        <v>0.85911287042273088</v>
      </c>
      <c r="U250" s="24" t="str" cm="1">
        <f t="array" ref="U250">_xlfn.IFS(T250&lt;1,"underpaid",T250&gt;1,"overpaid",T250=1,"median pay")</f>
        <v>underpaid</v>
      </c>
      <c r="V250" s="5"/>
    </row>
    <row r="251" spans="1:22" x14ac:dyDescent="0.3">
      <c r="A251" s="22" t="s">
        <v>262</v>
      </c>
      <c r="B251" s="12" t="s">
        <v>1261</v>
      </c>
      <c r="C251" s="12" t="s">
        <v>2011</v>
      </c>
      <c r="D251" s="13">
        <v>43749</v>
      </c>
      <c r="E251" s="14">
        <f t="shared" si="30"/>
        <v>445104</v>
      </c>
      <c r="F251" s="12">
        <v>31578</v>
      </c>
      <c r="G251" s="12">
        <v>5514</v>
      </c>
      <c r="H251" s="15">
        <f t="shared" si="31"/>
        <v>15789</v>
      </c>
      <c r="I251" s="15">
        <f t="shared" si="32"/>
        <v>6315.6</v>
      </c>
      <c r="J251" s="15">
        <f t="shared" si="33"/>
        <v>9473.4000000000015</v>
      </c>
      <c r="K251" s="15">
        <f t="shared" si="34"/>
        <v>1894.6799999999998</v>
      </c>
      <c r="L251" s="12">
        <v>200</v>
      </c>
      <c r="M251" s="12">
        <f t="shared" si="35"/>
        <v>208</v>
      </c>
      <c r="N251" s="15">
        <v>1</v>
      </c>
      <c r="O251" s="15">
        <f t="shared" si="36"/>
        <v>75.90865384615384</v>
      </c>
      <c r="P251" s="15">
        <f t="shared" si="37"/>
        <v>151.81730769230768</v>
      </c>
      <c r="Q251" s="15">
        <f t="shared" si="38"/>
        <v>151.81730769230768</v>
      </c>
      <c r="R251" s="12">
        <v>34998</v>
      </c>
      <c r="S251" s="15">
        <f t="shared" si="39"/>
        <v>40512</v>
      </c>
      <c r="T251" s="20">
        <f>S251/median_percentile!$B$1</f>
        <v>0.80383344742403051</v>
      </c>
      <c r="U251" s="24" t="str" cm="1">
        <f t="array" ref="U251">_xlfn.IFS(T251&lt;1,"underpaid",T251&gt;1,"overpaid",T251=1,"median pay")</f>
        <v>underpaid</v>
      </c>
      <c r="V251" s="5"/>
    </row>
    <row r="252" spans="1:22" x14ac:dyDescent="0.3">
      <c r="A252" s="21" t="s">
        <v>263</v>
      </c>
      <c r="B252" s="8" t="s">
        <v>1262</v>
      </c>
      <c r="C252" s="8" t="s">
        <v>2015</v>
      </c>
      <c r="D252" s="9">
        <v>45115</v>
      </c>
      <c r="E252" s="10">
        <f t="shared" si="30"/>
        <v>700056</v>
      </c>
      <c r="F252" s="8">
        <v>49584</v>
      </c>
      <c r="G252" s="8">
        <v>8754</v>
      </c>
      <c r="H252" s="11">
        <f t="shared" si="31"/>
        <v>24792</v>
      </c>
      <c r="I252" s="11">
        <f t="shared" si="32"/>
        <v>9916.8000000000011</v>
      </c>
      <c r="J252" s="11">
        <f t="shared" si="33"/>
        <v>14875.199999999997</v>
      </c>
      <c r="K252" s="11">
        <f t="shared" si="34"/>
        <v>2975.04</v>
      </c>
      <c r="L252" s="8">
        <v>200</v>
      </c>
      <c r="M252" s="8">
        <f t="shared" si="35"/>
        <v>208</v>
      </c>
      <c r="N252" s="11">
        <v>5</v>
      </c>
      <c r="O252" s="11">
        <f t="shared" si="36"/>
        <v>119.19230769230769</v>
      </c>
      <c r="P252" s="11">
        <f t="shared" si="37"/>
        <v>238.38461538461539</v>
      </c>
      <c r="Q252" s="11">
        <f t="shared" si="38"/>
        <v>1191.9230769230769</v>
      </c>
      <c r="R252" s="8">
        <v>55576</v>
      </c>
      <c r="S252" s="11">
        <f t="shared" si="39"/>
        <v>64330</v>
      </c>
      <c r="T252" s="20">
        <f>S252/median_percentile!$B$1</f>
        <v>1.2764268777840611</v>
      </c>
      <c r="U252" s="24" t="str" cm="1">
        <f t="array" ref="U252">_xlfn.IFS(T252&lt;1,"underpaid",T252&gt;1,"overpaid",T252=1,"median pay")</f>
        <v>overpaid</v>
      </c>
      <c r="V252" s="5"/>
    </row>
    <row r="253" spans="1:22" x14ac:dyDescent="0.3">
      <c r="A253" s="22" t="s">
        <v>264</v>
      </c>
      <c r="B253" s="12" t="s">
        <v>1263</v>
      </c>
      <c r="C253" s="12" t="s">
        <v>2012</v>
      </c>
      <c r="D253" s="13">
        <v>44046</v>
      </c>
      <c r="E253" s="14">
        <f t="shared" si="30"/>
        <v>434796</v>
      </c>
      <c r="F253" s="12">
        <v>31185</v>
      </c>
      <c r="G253" s="12">
        <v>5048</v>
      </c>
      <c r="H253" s="15">
        <f t="shared" si="31"/>
        <v>15592.5</v>
      </c>
      <c r="I253" s="15">
        <f t="shared" si="32"/>
        <v>6237</v>
      </c>
      <c r="J253" s="15">
        <f t="shared" si="33"/>
        <v>9355.5</v>
      </c>
      <c r="K253" s="15">
        <f t="shared" si="34"/>
        <v>1871.1</v>
      </c>
      <c r="L253" s="12">
        <v>200</v>
      </c>
      <c r="M253" s="12">
        <f t="shared" si="35"/>
        <v>208</v>
      </c>
      <c r="N253" s="15">
        <v>1</v>
      </c>
      <c r="O253" s="15">
        <f t="shared" si="36"/>
        <v>74.963942307692307</v>
      </c>
      <c r="P253" s="15">
        <f t="shared" si="37"/>
        <v>149.92788461538461</v>
      </c>
      <c r="Q253" s="15">
        <f t="shared" si="38"/>
        <v>149.92788461538461</v>
      </c>
      <c r="R253" s="12">
        <v>34681</v>
      </c>
      <c r="S253" s="15">
        <f t="shared" si="39"/>
        <v>39729</v>
      </c>
      <c r="T253" s="20">
        <f>S253/median_percentile!$B$1</f>
        <v>0.78829727075210576</v>
      </c>
      <c r="U253" s="24" t="str" cm="1">
        <f t="array" ref="U253">_xlfn.IFS(T253&lt;1,"underpaid",T253&gt;1,"overpaid",T253=1,"median pay")</f>
        <v>underpaid</v>
      </c>
      <c r="V253" s="5"/>
    </row>
    <row r="254" spans="1:22" x14ac:dyDescent="0.3">
      <c r="A254" s="21" t="s">
        <v>265</v>
      </c>
      <c r="B254" s="8" t="s">
        <v>1264</v>
      </c>
      <c r="C254" s="8" t="s">
        <v>2011</v>
      </c>
      <c r="D254" s="9">
        <v>45001</v>
      </c>
      <c r="E254" s="10">
        <f t="shared" si="30"/>
        <v>629640</v>
      </c>
      <c r="F254" s="8">
        <v>44694</v>
      </c>
      <c r="G254" s="8">
        <v>7776</v>
      </c>
      <c r="H254" s="11">
        <f t="shared" si="31"/>
        <v>22347</v>
      </c>
      <c r="I254" s="11">
        <f t="shared" si="32"/>
        <v>8938.8000000000011</v>
      </c>
      <c r="J254" s="11">
        <f t="shared" si="33"/>
        <v>13408.199999999997</v>
      </c>
      <c r="K254" s="11">
        <f t="shared" si="34"/>
        <v>2681.64</v>
      </c>
      <c r="L254" s="8">
        <v>200</v>
      </c>
      <c r="M254" s="8">
        <f t="shared" si="35"/>
        <v>208</v>
      </c>
      <c r="N254" s="11">
        <v>3</v>
      </c>
      <c r="O254" s="11">
        <f t="shared" si="36"/>
        <v>107.4375</v>
      </c>
      <c r="P254" s="11">
        <f t="shared" si="37"/>
        <v>214.875</v>
      </c>
      <c r="Q254" s="11">
        <f t="shared" si="38"/>
        <v>644.625</v>
      </c>
      <c r="R254" s="8">
        <v>49589</v>
      </c>
      <c r="S254" s="11">
        <f t="shared" si="39"/>
        <v>57365</v>
      </c>
      <c r="T254" s="20">
        <f>S254/median_percentile!$B$1</f>
        <v>1.1382283202873102</v>
      </c>
      <c r="U254" s="24" t="str" cm="1">
        <f t="array" ref="U254">_xlfn.IFS(T254&lt;1,"underpaid",T254&gt;1,"overpaid",T254=1,"median pay")</f>
        <v>overpaid</v>
      </c>
      <c r="V254" s="5"/>
    </row>
    <row r="255" spans="1:22" x14ac:dyDescent="0.3">
      <c r="A255" s="22" t="s">
        <v>266</v>
      </c>
      <c r="B255" s="12" t="s">
        <v>1265</v>
      </c>
      <c r="C255" s="12" t="s">
        <v>2015</v>
      </c>
      <c r="D255" s="13">
        <v>46014</v>
      </c>
      <c r="E255" s="14">
        <f t="shared" si="30"/>
        <v>703896</v>
      </c>
      <c r="F255" s="12">
        <v>53022</v>
      </c>
      <c r="G255" s="12">
        <v>5636</v>
      </c>
      <c r="H255" s="15">
        <f t="shared" si="31"/>
        <v>26511</v>
      </c>
      <c r="I255" s="15">
        <f t="shared" si="32"/>
        <v>10604.400000000001</v>
      </c>
      <c r="J255" s="15">
        <f t="shared" si="33"/>
        <v>15906.599999999999</v>
      </c>
      <c r="K255" s="15">
        <f t="shared" si="34"/>
        <v>3181.3199999999997</v>
      </c>
      <c r="L255" s="12">
        <v>200</v>
      </c>
      <c r="M255" s="12">
        <f t="shared" si="35"/>
        <v>208</v>
      </c>
      <c r="N255" s="15">
        <v>0</v>
      </c>
      <c r="O255" s="15">
        <f t="shared" si="36"/>
        <v>127.45673076923077</v>
      </c>
      <c r="P255" s="15">
        <f t="shared" si="37"/>
        <v>254.91346153846155</v>
      </c>
      <c r="Q255" s="15">
        <f t="shared" si="38"/>
        <v>0</v>
      </c>
      <c r="R255" s="12">
        <v>55277</v>
      </c>
      <c r="S255" s="15">
        <f t="shared" si="39"/>
        <v>60913</v>
      </c>
      <c r="T255" s="20">
        <f>S255/median_percentile!$B$1</f>
        <v>1.2086272408901058</v>
      </c>
      <c r="U255" s="24" t="str" cm="1">
        <f t="array" ref="U255">_xlfn.IFS(T255&lt;1,"underpaid",T255&gt;1,"overpaid",T255=1,"median pay")</f>
        <v>overpaid</v>
      </c>
      <c r="V255" s="5"/>
    </row>
    <row r="256" spans="1:22" x14ac:dyDescent="0.3">
      <c r="A256" s="21" t="s">
        <v>267</v>
      </c>
      <c r="B256" s="8" t="s">
        <v>1266</v>
      </c>
      <c r="C256" s="8" t="s">
        <v>2013</v>
      </c>
      <c r="D256" s="9">
        <v>45577</v>
      </c>
      <c r="E256" s="10">
        <f t="shared" si="30"/>
        <v>839916</v>
      </c>
      <c r="F256" s="8">
        <v>61048</v>
      </c>
      <c r="G256" s="8">
        <v>8945</v>
      </c>
      <c r="H256" s="11">
        <f t="shared" si="31"/>
        <v>30524</v>
      </c>
      <c r="I256" s="11">
        <f t="shared" si="32"/>
        <v>12209.6</v>
      </c>
      <c r="J256" s="11">
        <f t="shared" si="33"/>
        <v>18314.400000000001</v>
      </c>
      <c r="K256" s="11">
        <f t="shared" si="34"/>
        <v>3662.8799999999997</v>
      </c>
      <c r="L256" s="8">
        <v>200</v>
      </c>
      <c r="M256" s="8">
        <f t="shared" si="35"/>
        <v>208</v>
      </c>
      <c r="N256" s="11">
        <v>4</v>
      </c>
      <c r="O256" s="11">
        <f t="shared" si="36"/>
        <v>146.75</v>
      </c>
      <c r="P256" s="11">
        <f t="shared" si="37"/>
        <v>293.5</v>
      </c>
      <c r="Q256" s="11">
        <f t="shared" si="38"/>
        <v>1174</v>
      </c>
      <c r="R256" s="8">
        <v>66131</v>
      </c>
      <c r="S256" s="11">
        <f t="shared" si="39"/>
        <v>75076</v>
      </c>
      <c r="T256" s="20">
        <f>S256/median_percentile!$B$1</f>
        <v>1.4896475093504766</v>
      </c>
      <c r="U256" s="24" t="str" cm="1">
        <f t="array" ref="U256">_xlfn.IFS(T256&lt;1,"underpaid",T256&gt;1,"overpaid",T256=1,"median pay")</f>
        <v>overpaid</v>
      </c>
      <c r="V256" s="5"/>
    </row>
    <row r="257" spans="1:22" x14ac:dyDescent="0.3">
      <c r="A257" s="22" t="s">
        <v>268</v>
      </c>
      <c r="B257" s="12" t="s">
        <v>1267</v>
      </c>
      <c r="C257" s="12" t="s">
        <v>2011</v>
      </c>
      <c r="D257" s="13">
        <v>45054</v>
      </c>
      <c r="E257" s="14">
        <f t="shared" si="30"/>
        <v>387336</v>
      </c>
      <c r="F257" s="12">
        <v>28081</v>
      </c>
      <c r="G257" s="12">
        <v>4197</v>
      </c>
      <c r="H257" s="15">
        <f t="shared" si="31"/>
        <v>14040.5</v>
      </c>
      <c r="I257" s="15">
        <f t="shared" si="32"/>
        <v>5616.2000000000007</v>
      </c>
      <c r="J257" s="15">
        <f t="shared" si="33"/>
        <v>8424.2999999999993</v>
      </c>
      <c r="K257" s="15">
        <f t="shared" si="34"/>
        <v>1684.86</v>
      </c>
      <c r="L257" s="12">
        <v>200</v>
      </c>
      <c r="M257" s="12">
        <f t="shared" si="35"/>
        <v>208</v>
      </c>
      <c r="N257" s="15">
        <v>5</v>
      </c>
      <c r="O257" s="15">
        <f t="shared" si="36"/>
        <v>67.50240384615384</v>
      </c>
      <c r="P257" s="15">
        <f t="shared" si="37"/>
        <v>135.00480769230768</v>
      </c>
      <c r="Q257" s="15">
        <f t="shared" si="38"/>
        <v>675.02403846153834</v>
      </c>
      <c r="R257" s="12">
        <v>30394</v>
      </c>
      <c r="S257" s="15">
        <f t="shared" si="39"/>
        <v>34591</v>
      </c>
      <c r="T257" s="20">
        <f>S257/median_percentile!$B$1</f>
        <v>0.68634979215651259</v>
      </c>
      <c r="U257" s="24" t="str" cm="1">
        <f t="array" ref="U257">_xlfn.IFS(T257&lt;1,"underpaid",T257&gt;1,"overpaid",T257=1,"median pay")</f>
        <v>underpaid</v>
      </c>
      <c r="V257" s="5"/>
    </row>
    <row r="258" spans="1:22" x14ac:dyDescent="0.3">
      <c r="A258" s="21" t="s">
        <v>269</v>
      </c>
      <c r="B258" s="8" t="s">
        <v>1268</v>
      </c>
      <c r="C258" s="8" t="s">
        <v>2015</v>
      </c>
      <c r="D258" s="9">
        <v>45941</v>
      </c>
      <c r="E258" s="10">
        <f t="shared" ref="E258:E321" si="40">(F258*12)+(G258*12)</f>
        <v>427416</v>
      </c>
      <c r="F258" s="8">
        <v>31513</v>
      </c>
      <c r="G258" s="8">
        <v>4105</v>
      </c>
      <c r="H258" s="11">
        <f t="shared" ref="H258:H321" si="41">F258*50%</f>
        <v>15756.5</v>
      </c>
      <c r="I258" s="11">
        <f t="shared" ref="I258:I321" si="42">H258*40%</f>
        <v>6302.6</v>
      </c>
      <c r="J258" s="11">
        <f t="shared" ref="J258:J321" si="43">F258-(H258+I258)</f>
        <v>9453.9000000000015</v>
      </c>
      <c r="K258" s="11">
        <f t="shared" ref="K258:K321" si="44">H258*12%</f>
        <v>1890.78</v>
      </c>
      <c r="L258" s="8">
        <v>200</v>
      </c>
      <c r="M258" s="8">
        <f t="shared" si="35"/>
        <v>208</v>
      </c>
      <c r="N258" s="11">
        <v>4</v>
      </c>
      <c r="O258" s="11">
        <f t="shared" si="36"/>
        <v>75.75240384615384</v>
      </c>
      <c r="P258" s="11">
        <f t="shared" si="37"/>
        <v>151.50480769230768</v>
      </c>
      <c r="Q258" s="11">
        <f t="shared" si="38"/>
        <v>606.01923076923072</v>
      </c>
      <c r="R258" s="8">
        <v>33528</v>
      </c>
      <c r="S258" s="11">
        <f t="shared" si="39"/>
        <v>37633</v>
      </c>
      <c r="T258" s="20">
        <f>S258/median_percentile!$B$1</f>
        <v>0.74670873141065708</v>
      </c>
      <c r="U258" s="24" t="str" cm="1">
        <f t="array" ref="U258">_xlfn.IFS(T258&lt;1,"underpaid",T258&gt;1,"overpaid",T258=1,"median pay")</f>
        <v>underpaid</v>
      </c>
      <c r="V258" s="5"/>
    </row>
    <row r="259" spans="1:22" x14ac:dyDescent="0.3">
      <c r="A259" s="22" t="s">
        <v>270</v>
      </c>
      <c r="B259" s="12" t="s">
        <v>1269</v>
      </c>
      <c r="C259" s="12" t="s">
        <v>2011</v>
      </c>
      <c r="D259" s="13">
        <v>44295</v>
      </c>
      <c r="E259" s="14">
        <f t="shared" si="40"/>
        <v>322080</v>
      </c>
      <c r="F259" s="12">
        <v>23932</v>
      </c>
      <c r="G259" s="12">
        <v>2908</v>
      </c>
      <c r="H259" s="15">
        <f t="shared" si="41"/>
        <v>11966</v>
      </c>
      <c r="I259" s="15">
        <f t="shared" si="42"/>
        <v>4786.4000000000005</v>
      </c>
      <c r="J259" s="15">
        <f t="shared" si="43"/>
        <v>7179.5999999999985</v>
      </c>
      <c r="K259" s="15">
        <f t="shared" si="44"/>
        <v>1435.9199999999998</v>
      </c>
      <c r="L259" s="12">
        <v>200</v>
      </c>
      <c r="M259" s="12">
        <f t="shared" ref="M259:M322" si="45">8*26</f>
        <v>208</v>
      </c>
      <c r="N259" s="15">
        <v>0</v>
      </c>
      <c r="O259" s="15">
        <f t="shared" ref="O259:O322" si="46">H259/M259</f>
        <v>57.528846153846153</v>
      </c>
      <c r="P259" s="15">
        <f t="shared" ref="P259:P322" si="47">O259*2</f>
        <v>115.05769230769231</v>
      </c>
      <c r="Q259" s="15">
        <f t="shared" ref="Q259:Q322" si="48">P259*N259</f>
        <v>0</v>
      </c>
      <c r="R259" s="12">
        <v>25205</v>
      </c>
      <c r="S259" s="15">
        <f t="shared" ref="S259:T322" si="49">R259+G259</f>
        <v>28113</v>
      </c>
      <c r="T259" s="20">
        <f>S259/median_percentile!$B$1</f>
        <v>0.55781422066132924</v>
      </c>
      <c r="U259" s="24" t="str" cm="1">
        <f t="array" ref="U259">_xlfn.IFS(T259&lt;1,"underpaid",T259&gt;1,"overpaid",T259=1,"median pay")</f>
        <v>underpaid</v>
      </c>
      <c r="V259" s="5"/>
    </row>
    <row r="260" spans="1:22" x14ac:dyDescent="0.3">
      <c r="A260" s="21" t="s">
        <v>271</v>
      </c>
      <c r="B260" s="8" t="s">
        <v>1270</v>
      </c>
      <c r="C260" s="8" t="s">
        <v>2013</v>
      </c>
      <c r="D260" s="9">
        <v>44935</v>
      </c>
      <c r="E260" s="10">
        <f t="shared" si="40"/>
        <v>441984</v>
      </c>
      <c r="F260" s="8">
        <v>32637</v>
      </c>
      <c r="G260" s="8">
        <v>4195</v>
      </c>
      <c r="H260" s="11">
        <f t="shared" si="41"/>
        <v>16318.5</v>
      </c>
      <c r="I260" s="11">
        <f t="shared" si="42"/>
        <v>6527.4000000000005</v>
      </c>
      <c r="J260" s="11">
        <f t="shared" si="43"/>
        <v>9791.0999999999985</v>
      </c>
      <c r="K260" s="11">
        <f t="shared" si="44"/>
        <v>1958.22</v>
      </c>
      <c r="L260" s="8">
        <v>200</v>
      </c>
      <c r="M260" s="8">
        <f t="shared" si="45"/>
        <v>208</v>
      </c>
      <c r="N260" s="11">
        <v>4</v>
      </c>
      <c r="O260" s="11">
        <f t="shared" si="46"/>
        <v>78.45432692307692</v>
      </c>
      <c r="P260" s="11">
        <f t="shared" si="47"/>
        <v>156.90865384615384</v>
      </c>
      <c r="Q260" s="11">
        <f t="shared" si="48"/>
        <v>627.63461538461536</v>
      </c>
      <c r="R260" s="8">
        <v>34674</v>
      </c>
      <c r="S260" s="11">
        <f t="shared" si="49"/>
        <v>38869</v>
      </c>
      <c r="T260" s="20">
        <f>S260/median_percentile!$B$1</f>
        <v>0.77123327083147319</v>
      </c>
      <c r="U260" s="24" t="str" cm="1">
        <f t="array" ref="U260">_xlfn.IFS(T260&lt;1,"underpaid",T260&gt;1,"overpaid",T260=1,"median pay")</f>
        <v>underpaid</v>
      </c>
      <c r="V260" s="5"/>
    </row>
    <row r="261" spans="1:22" x14ac:dyDescent="0.3">
      <c r="A261" s="22" t="s">
        <v>272</v>
      </c>
      <c r="B261" s="12" t="s">
        <v>1271</v>
      </c>
      <c r="C261" s="12" t="s">
        <v>2011</v>
      </c>
      <c r="D261" s="13">
        <v>44103</v>
      </c>
      <c r="E261" s="14">
        <f t="shared" si="40"/>
        <v>496644</v>
      </c>
      <c r="F261" s="12">
        <v>37331</v>
      </c>
      <c r="G261" s="12">
        <v>4056</v>
      </c>
      <c r="H261" s="15">
        <f t="shared" si="41"/>
        <v>18665.5</v>
      </c>
      <c r="I261" s="15">
        <f t="shared" si="42"/>
        <v>7466.2000000000007</v>
      </c>
      <c r="J261" s="15">
        <f t="shared" si="43"/>
        <v>11199.3</v>
      </c>
      <c r="K261" s="15">
        <f t="shared" si="44"/>
        <v>2239.86</v>
      </c>
      <c r="L261" s="12">
        <v>200</v>
      </c>
      <c r="M261" s="12">
        <f t="shared" si="45"/>
        <v>208</v>
      </c>
      <c r="N261" s="15">
        <v>2</v>
      </c>
      <c r="O261" s="15">
        <f t="shared" si="46"/>
        <v>89.737980769230774</v>
      </c>
      <c r="P261" s="15">
        <f t="shared" si="47"/>
        <v>179.47596153846155</v>
      </c>
      <c r="Q261" s="15">
        <f t="shared" si="48"/>
        <v>358.95192307692309</v>
      </c>
      <c r="R261" s="12">
        <v>39570</v>
      </c>
      <c r="S261" s="15">
        <f t="shared" si="49"/>
        <v>43626</v>
      </c>
      <c r="T261" s="20">
        <f>S261/median_percentile!$B$1</f>
        <v>0.86562100062501857</v>
      </c>
      <c r="U261" s="24" t="str" cm="1">
        <f t="array" ref="U261">_xlfn.IFS(T261&lt;1,"underpaid",T261&gt;1,"overpaid",T261=1,"median pay")</f>
        <v>underpaid</v>
      </c>
      <c r="V261" s="5"/>
    </row>
    <row r="262" spans="1:22" x14ac:dyDescent="0.3">
      <c r="A262" s="21" t="s">
        <v>273</v>
      </c>
      <c r="B262" s="8" t="s">
        <v>1272</v>
      </c>
      <c r="C262" s="8" t="s">
        <v>2011</v>
      </c>
      <c r="D262" s="9">
        <v>45696</v>
      </c>
      <c r="E262" s="10">
        <f t="shared" si="40"/>
        <v>326952</v>
      </c>
      <c r="F262" s="8">
        <v>22897</v>
      </c>
      <c r="G262" s="8">
        <v>4349</v>
      </c>
      <c r="H262" s="11">
        <f t="shared" si="41"/>
        <v>11448.5</v>
      </c>
      <c r="I262" s="11">
        <f t="shared" si="42"/>
        <v>4579.4000000000005</v>
      </c>
      <c r="J262" s="11">
        <f t="shared" si="43"/>
        <v>6869.0999999999985</v>
      </c>
      <c r="K262" s="11">
        <f t="shared" si="44"/>
        <v>1373.82</v>
      </c>
      <c r="L262" s="8">
        <v>200</v>
      </c>
      <c r="M262" s="8">
        <f t="shared" si="45"/>
        <v>208</v>
      </c>
      <c r="N262" s="11">
        <v>3</v>
      </c>
      <c r="O262" s="11">
        <f t="shared" si="46"/>
        <v>55.040865384615387</v>
      </c>
      <c r="P262" s="11">
        <f t="shared" si="47"/>
        <v>110.08173076923077</v>
      </c>
      <c r="Q262" s="11">
        <f t="shared" si="48"/>
        <v>330.24519230769232</v>
      </c>
      <c r="R262" s="8">
        <v>25673</v>
      </c>
      <c r="S262" s="11">
        <f t="shared" si="49"/>
        <v>30022</v>
      </c>
      <c r="T262" s="20">
        <f>S262/median_percentile!$B$1</f>
        <v>0.59569233211305894</v>
      </c>
      <c r="U262" s="24" t="str" cm="1">
        <f t="array" ref="U262">_xlfn.IFS(T262&lt;1,"underpaid",T262&gt;1,"overpaid",T262=1,"median pay")</f>
        <v>underpaid</v>
      </c>
      <c r="V262" s="5"/>
    </row>
    <row r="263" spans="1:22" x14ac:dyDescent="0.3">
      <c r="A263" s="22" t="s">
        <v>274</v>
      </c>
      <c r="B263" s="12" t="s">
        <v>1273</v>
      </c>
      <c r="C263" s="12" t="s">
        <v>2013</v>
      </c>
      <c r="D263" s="13">
        <v>44041</v>
      </c>
      <c r="E263" s="14">
        <f t="shared" si="40"/>
        <v>883800</v>
      </c>
      <c r="F263" s="12">
        <v>61522</v>
      </c>
      <c r="G263" s="12">
        <v>12128</v>
      </c>
      <c r="H263" s="15">
        <f t="shared" si="41"/>
        <v>30761</v>
      </c>
      <c r="I263" s="15">
        <f t="shared" si="42"/>
        <v>12304.400000000001</v>
      </c>
      <c r="J263" s="15">
        <f t="shared" si="43"/>
        <v>18456.599999999999</v>
      </c>
      <c r="K263" s="15">
        <f t="shared" si="44"/>
        <v>3691.3199999999997</v>
      </c>
      <c r="L263" s="12">
        <v>200</v>
      </c>
      <c r="M263" s="12">
        <f t="shared" si="45"/>
        <v>208</v>
      </c>
      <c r="N263" s="15">
        <v>3</v>
      </c>
      <c r="O263" s="15">
        <f t="shared" si="46"/>
        <v>147.88942307692307</v>
      </c>
      <c r="P263" s="15">
        <f t="shared" si="47"/>
        <v>295.77884615384613</v>
      </c>
      <c r="Q263" s="15">
        <f t="shared" si="48"/>
        <v>887.33653846153834</v>
      </c>
      <c r="R263" s="12">
        <v>69759</v>
      </c>
      <c r="S263" s="15">
        <f t="shared" si="49"/>
        <v>81887</v>
      </c>
      <c r="T263" s="20">
        <f>S263/median_percentile!$B$1</f>
        <v>1.624790420349812</v>
      </c>
      <c r="U263" s="24" t="str" cm="1">
        <f t="array" ref="U263">_xlfn.IFS(T263&lt;1,"underpaid",T263&gt;1,"overpaid",T263=1,"median pay")</f>
        <v>overpaid</v>
      </c>
      <c r="V263" s="5"/>
    </row>
    <row r="264" spans="1:22" x14ac:dyDescent="0.3">
      <c r="A264" s="21" t="s">
        <v>275</v>
      </c>
      <c r="B264" s="8" t="s">
        <v>1274</v>
      </c>
      <c r="C264" s="8" t="s">
        <v>2012</v>
      </c>
      <c r="D264" s="9">
        <v>43712</v>
      </c>
      <c r="E264" s="10">
        <f t="shared" si="40"/>
        <v>366504</v>
      </c>
      <c r="F264" s="8">
        <v>25773</v>
      </c>
      <c r="G264" s="8">
        <v>4769</v>
      </c>
      <c r="H264" s="11">
        <f t="shared" si="41"/>
        <v>12886.5</v>
      </c>
      <c r="I264" s="11">
        <f t="shared" si="42"/>
        <v>5154.6000000000004</v>
      </c>
      <c r="J264" s="11">
        <f t="shared" si="43"/>
        <v>7731.9000000000015</v>
      </c>
      <c r="K264" s="11">
        <f t="shared" si="44"/>
        <v>1546.3799999999999</v>
      </c>
      <c r="L264" s="8">
        <v>200</v>
      </c>
      <c r="M264" s="8">
        <f t="shared" si="45"/>
        <v>208</v>
      </c>
      <c r="N264" s="11">
        <v>5</v>
      </c>
      <c r="O264" s="11">
        <f t="shared" si="46"/>
        <v>61.95432692307692</v>
      </c>
      <c r="P264" s="11">
        <f t="shared" si="47"/>
        <v>123.90865384615384</v>
      </c>
      <c r="Q264" s="11">
        <f t="shared" si="48"/>
        <v>619.54326923076917</v>
      </c>
      <c r="R264" s="8">
        <v>28796</v>
      </c>
      <c r="S264" s="11">
        <f t="shared" si="49"/>
        <v>33565</v>
      </c>
      <c r="T264" s="20">
        <f>S264/median_percentile!$B$1</f>
        <v>0.66599204341399054</v>
      </c>
      <c r="U264" s="24" t="str" cm="1">
        <f t="array" ref="U264">_xlfn.IFS(T264&lt;1,"underpaid",T264&gt;1,"overpaid",T264=1,"median pay")</f>
        <v>underpaid</v>
      </c>
      <c r="V264" s="5"/>
    </row>
    <row r="265" spans="1:22" x14ac:dyDescent="0.3">
      <c r="A265" s="22" t="s">
        <v>276</v>
      </c>
      <c r="B265" s="12" t="s">
        <v>1275</v>
      </c>
      <c r="C265" s="12" t="s">
        <v>2013</v>
      </c>
      <c r="D265" s="13">
        <v>45739</v>
      </c>
      <c r="E265" s="14">
        <f t="shared" si="40"/>
        <v>724344</v>
      </c>
      <c r="F265" s="12">
        <v>52957</v>
      </c>
      <c r="G265" s="12">
        <v>7405</v>
      </c>
      <c r="H265" s="15">
        <f t="shared" si="41"/>
        <v>26478.5</v>
      </c>
      <c r="I265" s="15">
        <f t="shared" si="42"/>
        <v>10591.400000000001</v>
      </c>
      <c r="J265" s="15">
        <f t="shared" si="43"/>
        <v>15887.099999999999</v>
      </c>
      <c r="K265" s="15">
        <f t="shared" si="44"/>
        <v>3177.42</v>
      </c>
      <c r="L265" s="12">
        <v>200</v>
      </c>
      <c r="M265" s="12">
        <f t="shared" si="45"/>
        <v>208</v>
      </c>
      <c r="N265" s="15">
        <v>0</v>
      </c>
      <c r="O265" s="15">
        <f t="shared" si="46"/>
        <v>127.30048076923077</v>
      </c>
      <c r="P265" s="15">
        <f t="shared" si="47"/>
        <v>254.60096153846155</v>
      </c>
      <c r="Q265" s="15">
        <f t="shared" si="48"/>
        <v>0</v>
      </c>
      <c r="R265" s="12">
        <v>57867</v>
      </c>
      <c r="S265" s="15">
        <f t="shared" si="49"/>
        <v>65272</v>
      </c>
      <c r="T265" s="20">
        <f>S265/median_percentile!$B$1</f>
        <v>1.2951179102552655</v>
      </c>
      <c r="U265" s="24" t="str" cm="1">
        <f t="array" ref="U265">_xlfn.IFS(T265&lt;1,"underpaid",T265&gt;1,"overpaid",T265=1,"median pay")</f>
        <v>overpaid</v>
      </c>
      <c r="V265" s="5"/>
    </row>
    <row r="266" spans="1:22" x14ac:dyDescent="0.3">
      <c r="A266" s="21" t="s">
        <v>277</v>
      </c>
      <c r="B266" s="8" t="s">
        <v>1276</v>
      </c>
      <c r="C266" s="8" t="s">
        <v>2011</v>
      </c>
      <c r="D266" s="9">
        <v>44068</v>
      </c>
      <c r="E266" s="10">
        <f t="shared" si="40"/>
        <v>364248</v>
      </c>
      <c r="F266" s="8">
        <v>27322</v>
      </c>
      <c r="G266" s="8">
        <v>3032</v>
      </c>
      <c r="H266" s="11">
        <f t="shared" si="41"/>
        <v>13661</v>
      </c>
      <c r="I266" s="11">
        <f t="shared" si="42"/>
        <v>5464.4000000000005</v>
      </c>
      <c r="J266" s="11">
        <f t="shared" si="43"/>
        <v>8196.5999999999985</v>
      </c>
      <c r="K266" s="11">
        <f t="shared" si="44"/>
        <v>1639.32</v>
      </c>
      <c r="L266" s="8">
        <v>200</v>
      </c>
      <c r="M266" s="8">
        <f t="shared" si="45"/>
        <v>208</v>
      </c>
      <c r="N266" s="11">
        <v>1</v>
      </c>
      <c r="O266" s="11">
        <f t="shared" si="46"/>
        <v>65.677884615384613</v>
      </c>
      <c r="P266" s="11">
        <f t="shared" si="47"/>
        <v>131.35576923076923</v>
      </c>
      <c r="Q266" s="11">
        <f t="shared" si="48"/>
        <v>131.35576923076923</v>
      </c>
      <c r="R266" s="8">
        <v>28515</v>
      </c>
      <c r="S266" s="11">
        <f t="shared" si="49"/>
        <v>31547</v>
      </c>
      <c r="T266" s="20">
        <f>S266/median_percentile!$B$1</f>
        <v>0.62595116918162252</v>
      </c>
      <c r="U266" s="24" t="str" cm="1">
        <f t="array" ref="U266">_xlfn.IFS(T266&lt;1,"underpaid",T266&gt;1,"overpaid",T266=1,"median pay")</f>
        <v>underpaid</v>
      </c>
      <c r="V266" s="5"/>
    </row>
    <row r="267" spans="1:22" x14ac:dyDescent="0.3">
      <c r="A267" s="22" t="s">
        <v>278</v>
      </c>
      <c r="B267" s="12" t="s">
        <v>1277</v>
      </c>
      <c r="C267" s="12" t="s">
        <v>2012</v>
      </c>
      <c r="D267" s="13">
        <v>44511</v>
      </c>
      <c r="E267" s="14">
        <f t="shared" si="40"/>
        <v>482628</v>
      </c>
      <c r="F267" s="12">
        <v>35086</v>
      </c>
      <c r="G267" s="12">
        <v>5133</v>
      </c>
      <c r="H267" s="15">
        <f t="shared" si="41"/>
        <v>17543</v>
      </c>
      <c r="I267" s="15">
        <f t="shared" si="42"/>
        <v>7017.2000000000007</v>
      </c>
      <c r="J267" s="15">
        <f t="shared" si="43"/>
        <v>10525.8</v>
      </c>
      <c r="K267" s="15">
        <f t="shared" si="44"/>
        <v>2105.16</v>
      </c>
      <c r="L267" s="12">
        <v>200</v>
      </c>
      <c r="M267" s="12">
        <f t="shared" si="45"/>
        <v>208</v>
      </c>
      <c r="N267" s="15">
        <v>1</v>
      </c>
      <c r="O267" s="15">
        <f t="shared" si="46"/>
        <v>84.34134615384616</v>
      </c>
      <c r="P267" s="15">
        <f t="shared" si="47"/>
        <v>168.68269230769232</v>
      </c>
      <c r="Q267" s="15">
        <f t="shared" si="48"/>
        <v>168.68269230769232</v>
      </c>
      <c r="R267" s="12">
        <v>37914</v>
      </c>
      <c r="S267" s="15">
        <f t="shared" si="49"/>
        <v>43047</v>
      </c>
      <c r="T267" s="20">
        <f>S267/median_percentile!$B$1</f>
        <v>0.8541325634691509</v>
      </c>
      <c r="U267" s="24" t="str" cm="1">
        <f t="array" ref="U267">_xlfn.IFS(T267&lt;1,"underpaid",T267&gt;1,"overpaid",T267=1,"median pay")</f>
        <v>underpaid</v>
      </c>
      <c r="V267" s="5"/>
    </row>
    <row r="268" spans="1:22" x14ac:dyDescent="0.3">
      <c r="A268" s="21" t="s">
        <v>279</v>
      </c>
      <c r="B268" s="8" t="s">
        <v>1278</v>
      </c>
      <c r="C268" s="8" t="s">
        <v>2014</v>
      </c>
      <c r="D268" s="9">
        <v>45327</v>
      </c>
      <c r="E268" s="10">
        <f t="shared" si="40"/>
        <v>992568</v>
      </c>
      <c r="F268" s="8">
        <v>73270</v>
      </c>
      <c r="G268" s="8">
        <v>9444</v>
      </c>
      <c r="H268" s="11">
        <f t="shared" si="41"/>
        <v>36635</v>
      </c>
      <c r="I268" s="11">
        <f t="shared" si="42"/>
        <v>14654</v>
      </c>
      <c r="J268" s="11">
        <f t="shared" si="43"/>
        <v>21981</v>
      </c>
      <c r="K268" s="11">
        <f t="shared" si="44"/>
        <v>4396.2</v>
      </c>
      <c r="L268" s="8">
        <v>200</v>
      </c>
      <c r="M268" s="8">
        <f t="shared" si="45"/>
        <v>208</v>
      </c>
      <c r="N268" s="11">
        <v>4</v>
      </c>
      <c r="O268" s="11">
        <f t="shared" si="46"/>
        <v>176.12980769230768</v>
      </c>
      <c r="P268" s="11">
        <f t="shared" si="47"/>
        <v>352.25961538461536</v>
      </c>
      <c r="Q268" s="11">
        <f t="shared" si="48"/>
        <v>1409.0384615384614</v>
      </c>
      <c r="R268" s="8">
        <v>78118</v>
      </c>
      <c r="S268" s="11">
        <f t="shared" si="49"/>
        <v>87562</v>
      </c>
      <c r="T268" s="20">
        <f>S268/median_percentile!$B$1</f>
        <v>1.7373929779656141</v>
      </c>
      <c r="U268" s="24" t="str" cm="1">
        <f t="array" ref="U268">_xlfn.IFS(T268&lt;1,"underpaid",T268&gt;1,"overpaid",T268=1,"median pay")</f>
        <v>overpaid</v>
      </c>
      <c r="V268" s="5"/>
    </row>
    <row r="269" spans="1:22" x14ac:dyDescent="0.3">
      <c r="A269" s="22" t="s">
        <v>280</v>
      </c>
      <c r="B269" s="12" t="s">
        <v>1279</v>
      </c>
      <c r="C269" s="12" t="s">
        <v>2014</v>
      </c>
      <c r="D269" s="13">
        <v>45980</v>
      </c>
      <c r="E269" s="14">
        <f t="shared" si="40"/>
        <v>1116972</v>
      </c>
      <c r="F269" s="12">
        <v>77675</v>
      </c>
      <c r="G269" s="12">
        <v>15406</v>
      </c>
      <c r="H269" s="15">
        <f t="shared" si="41"/>
        <v>38837.5</v>
      </c>
      <c r="I269" s="15">
        <f t="shared" si="42"/>
        <v>15535</v>
      </c>
      <c r="J269" s="15">
        <f t="shared" si="43"/>
        <v>23302.5</v>
      </c>
      <c r="K269" s="15">
        <f t="shared" si="44"/>
        <v>4660.5</v>
      </c>
      <c r="L269" s="12">
        <v>200</v>
      </c>
      <c r="M269" s="12">
        <f t="shared" si="45"/>
        <v>208</v>
      </c>
      <c r="N269" s="15">
        <v>4</v>
      </c>
      <c r="O269" s="15">
        <f t="shared" si="46"/>
        <v>186.71875</v>
      </c>
      <c r="P269" s="15">
        <f t="shared" si="47"/>
        <v>373.4375</v>
      </c>
      <c r="Q269" s="15">
        <f t="shared" si="48"/>
        <v>1493.75</v>
      </c>
      <c r="R269" s="12">
        <v>88868</v>
      </c>
      <c r="S269" s="15">
        <f t="shared" si="49"/>
        <v>104274</v>
      </c>
      <c r="T269" s="20">
        <f>S269/median_percentile!$B$1</f>
        <v>2.0689901485163249</v>
      </c>
      <c r="U269" s="24" t="str" cm="1">
        <f t="array" ref="U269">_xlfn.IFS(T269&lt;1,"underpaid",T269&gt;1,"overpaid",T269=1,"median pay")</f>
        <v>overpaid</v>
      </c>
      <c r="V269" s="5"/>
    </row>
    <row r="270" spans="1:22" x14ac:dyDescent="0.3">
      <c r="A270" s="21" t="s">
        <v>281</v>
      </c>
      <c r="B270" s="8" t="s">
        <v>1280</v>
      </c>
      <c r="C270" s="8" t="s">
        <v>2011</v>
      </c>
      <c r="D270" s="9">
        <v>45627</v>
      </c>
      <c r="E270" s="10">
        <f t="shared" si="40"/>
        <v>585888</v>
      </c>
      <c r="F270" s="8">
        <v>40741</v>
      </c>
      <c r="G270" s="8">
        <v>8083</v>
      </c>
      <c r="H270" s="11">
        <f t="shared" si="41"/>
        <v>20370.5</v>
      </c>
      <c r="I270" s="11">
        <f t="shared" si="42"/>
        <v>8148.2000000000007</v>
      </c>
      <c r="J270" s="11">
        <f t="shared" si="43"/>
        <v>12222.3</v>
      </c>
      <c r="K270" s="11">
        <f t="shared" si="44"/>
        <v>2444.46</v>
      </c>
      <c r="L270" s="8">
        <v>200</v>
      </c>
      <c r="M270" s="8">
        <f t="shared" si="45"/>
        <v>208</v>
      </c>
      <c r="N270" s="11">
        <v>2</v>
      </c>
      <c r="O270" s="11">
        <f t="shared" si="46"/>
        <v>97.93509615384616</v>
      </c>
      <c r="P270" s="11">
        <f t="shared" si="47"/>
        <v>195.87019230769232</v>
      </c>
      <c r="Q270" s="11">
        <f t="shared" si="48"/>
        <v>391.74038461538464</v>
      </c>
      <c r="R270" s="8">
        <v>46859</v>
      </c>
      <c r="S270" s="11">
        <f t="shared" si="49"/>
        <v>54942</v>
      </c>
      <c r="T270" s="20">
        <f>S270/median_percentile!$B$1</f>
        <v>1.0901514926039466</v>
      </c>
      <c r="U270" s="24" t="str" cm="1">
        <f t="array" ref="U270">_xlfn.IFS(T270&lt;1,"underpaid",T270&gt;1,"overpaid",T270=1,"median pay")</f>
        <v>overpaid</v>
      </c>
      <c r="V270" s="5"/>
    </row>
    <row r="271" spans="1:22" x14ac:dyDescent="0.3">
      <c r="A271" s="22" t="s">
        <v>282</v>
      </c>
      <c r="B271" s="12" t="s">
        <v>1281</v>
      </c>
      <c r="C271" s="12" t="s">
        <v>2011</v>
      </c>
      <c r="D271" s="13">
        <v>44209</v>
      </c>
      <c r="E271" s="14">
        <f t="shared" si="40"/>
        <v>492276</v>
      </c>
      <c r="F271" s="12">
        <v>36650</v>
      </c>
      <c r="G271" s="12">
        <v>4373</v>
      </c>
      <c r="H271" s="15">
        <f t="shared" si="41"/>
        <v>18325</v>
      </c>
      <c r="I271" s="15">
        <f t="shared" si="42"/>
        <v>7330</v>
      </c>
      <c r="J271" s="15">
        <f t="shared" si="43"/>
        <v>10995</v>
      </c>
      <c r="K271" s="15">
        <f t="shared" si="44"/>
        <v>2199</v>
      </c>
      <c r="L271" s="12">
        <v>200</v>
      </c>
      <c r="M271" s="12">
        <f t="shared" si="45"/>
        <v>208</v>
      </c>
      <c r="N271" s="15">
        <v>5</v>
      </c>
      <c r="O271" s="15">
        <f t="shared" si="46"/>
        <v>88.100961538461533</v>
      </c>
      <c r="P271" s="15">
        <f t="shared" si="47"/>
        <v>176.20192307692307</v>
      </c>
      <c r="Q271" s="15">
        <f t="shared" si="48"/>
        <v>881.00961538461536</v>
      </c>
      <c r="R271" s="12">
        <v>38624</v>
      </c>
      <c r="S271" s="15">
        <f t="shared" si="49"/>
        <v>42997</v>
      </c>
      <c r="T271" s="20">
        <f>S271/median_percentile!$B$1</f>
        <v>0.85314047045050945</v>
      </c>
      <c r="U271" s="24" t="str" cm="1">
        <f t="array" ref="U271">_xlfn.IFS(T271&lt;1,"underpaid",T271&gt;1,"overpaid",T271=1,"median pay")</f>
        <v>underpaid</v>
      </c>
      <c r="V271" s="5"/>
    </row>
    <row r="272" spans="1:22" x14ac:dyDescent="0.3">
      <c r="A272" s="21" t="s">
        <v>283</v>
      </c>
      <c r="B272" s="8" t="s">
        <v>1282</v>
      </c>
      <c r="C272" s="8" t="s">
        <v>2016</v>
      </c>
      <c r="D272" s="9">
        <v>43666</v>
      </c>
      <c r="E272" s="10">
        <f t="shared" si="40"/>
        <v>476004</v>
      </c>
      <c r="F272" s="8">
        <v>35380</v>
      </c>
      <c r="G272" s="8">
        <v>4287</v>
      </c>
      <c r="H272" s="11">
        <f t="shared" si="41"/>
        <v>17690</v>
      </c>
      <c r="I272" s="11">
        <f t="shared" si="42"/>
        <v>7076</v>
      </c>
      <c r="J272" s="11">
        <f t="shared" si="43"/>
        <v>10614</v>
      </c>
      <c r="K272" s="11">
        <f t="shared" si="44"/>
        <v>2122.7999999999997</v>
      </c>
      <c r="L272" s="8">
        <v>200</v>
      </c>
      <c r="M272" s="8">
        <f t="shared" si="45"/>
        <v>208</v>
      </c>
      <c r="N272" s="11">
        <v>1</v>
      </c>
      <c r="O272" s="11">
        <f t="shared" si="46"/>
        <v>85.04807692307692</v>
      </c>
      <c r="P272" s="11">
        <f t="shared" si="47"/>
        <v>170.09615384615384</v>
      </c>
      <c r="Q272" s="11">
        <f t="shared" si="48"/>
        <v>170.09615384615384</v>
      </c>
      <c r="R272" s="8">
        <v>37934</v>
      </c>
      <c r="S272" s="11">
        <f t="shared" si="49"/>
        <v>42221</v>
      </c>
      <c r="T272" s="20">
        <f>S272/median_percentile!$B$1</f>
        <v>0.83774318680119453</v>
      </c>
      <c r="U272" s="24" t="str" cm="1">
        <f t="array" ref="U272">_xlfn.IFS(T272&lt;1,"underpaid",T272&gt;1,"overpaid",T272=1,"median pay")</f>
        <v>underpaid</v>
      </c>
      <c r="V272" s="5"/>
    </row>
    <row r="273" spans="1:22" x14ac:dyDescent="0.3">
      <c r="A273" s="22" t="s">
        <v>284</v>
      </c>
      <c r="B273" s="12" t="s">
        <v>1283</v>
      </c>
      <c r="C273" s="12" t="s">
        <v>2011</v>
      </c>
      <c r="D273" s="13">
        <v>44192</v>
      </c>
      <c r="E273" s="14">
        <f t="shared" si="40"/>
        <v>403884</v>
      </c>
      <c r="F273" s="12">
        <v>29716</v>
      </c>
      <c r="G273" s="12">
        <v>3941</v>
      </c>
      <c r="H273" s="15">
        <f t="shared" si="41"/>
        <v>14858</v>
      </c>
      <c r="I273" s="15">
        <f t="shared" si="42"/>
        <v>5943.2000000000007</v>
      </c>
      <c r="J273" s="15">
        <f t="shared" si="43"/>
        <v>8914.7999999999993</v>
      </c>
      <c r="K273" s="15">
        <f t="shared" si="44"/>
        <v>1782.96</v>
      </c>
      <c r="L273" s="12">
        <v>200</v>
      </c>
      <c r="M273" s="12">
        <f t="shared" si="45"/>
        <v>208</v>
      </c>
      <c r="N273" s="15">
        <v>3</v>
      </c>
      <c r="O273" s="15">
        <f t="shared" si="46"/>
        <v>71.432692307692307</v>
      </c>
      <c r="P273" s="15">
        <f t="shared" si="47"/>
        <v>142.86538461538461</v>
      </c>
      <c r="Q273" s="15">
        <f t="shared" si="48"/>
        <v>428.59615384615381</v>
      </c>
      <c r="R273" s="12">
        <v>32170</v>
      </c>
      <c r="S273" s="15">
        <f t="shared" si="49"/>
        <v>36111</v>
      </c>
      <c r="T273" s="20">
        <f>S273/median_percentile!$B$1</f>
        <v>0.71650941992321204</v>
      </c>
      <c r="U273" s="24" t="str" cm="1">
        <f t="array" ref="U273">_xlfn.IFS(T273&lt;1,"underpaid",T273&gt;1,"overpaid",T273=1,"median pay")</f>
        <v>underpaid</v>
      </c>
      <c r="V273" s="5"/>
    </row>
    <row r="274" spans="1:22" x14ac:dyDescent="0.3">
      <c r="A274" s="21" t="s">
        <v>285</v>
      </c>
      <c r="B274" s="8" t="s">
        <v>1284</v>
      </c>
      <c r="C274" s="8" t="s">
        <v>2014</v>
      </c>
      <c r="D274" s="9">
        <v>45854</v>
      </c>
      <c r="E274" s="10">
        <f t="shared" si="40"/>
        <v>654984</v>
      </c>
      <c r="F274" s="8">
        <v>46246</v>
      </c>
      <c r="G274" s="8">
        <v>8336</v>
      </c>
      <c r="H274" s="11">
        <f t="shared" si="41"/>
        <v>23123</v>
      </c>
      <c r="I274" s="11">
        <f t="shared" si="42"/>
        <v>9249.2000000000007</v>
      </c>
      <c r="J274" s="11">
        <f t="shared" si="43"/>
        <v>13873.8</v>
      </c>
      <c r="K274" s="11">
        <f t="shared" si="44"/>
        <v>2774.7599999999998</v>
      </c>
      <c r="L274" s="8">
        <v>200</v>
      </c>
      <c r="M274" s="8">
        <f t="shared" si="45"/>
        <v>208</v>
      </c>
      <c r="N274" s="11">
        <v>0</v>
      </c>
      <c r="O274" s="11">
        <f t="shared" si="46"/>
        <v>111.16826923076923</v>
      </c>
      <c r="P274" s="11">
        <f t="shared" si="47"/>
        <v>222.33653846153845</v>
      </c>
      <c r="Q274" s="11">
        <f t="shared" si="48"/>
        <v>0</v>
      </c>
      <c r="R274" s="8">
        <v>51993</v>
      </c>
      <c r="S274" s="11">
        <f t="shared" si="49"/>
        <v>60329</v>
      </c>
      <c r="T274" s="20">
        <f>S274/median_percentile!$B$1</f>
        <v>1.197039594432374</v>
      </c>
      <c r="U274" s="24" t="str" cm="1">
        <f t="array" ref="U274">_xlfn.IFS(T274&lt;1,"underpaid",T274&gt;1,"overpaid",T274=1,"median pay")</f>
        <v>overpaid</v>
      </c>
      <c r="V274" s="5"/>
    </row>
    <row r="275" spans="1:22" x14ac:dyDescent="0.3">
      <c r="A275" s="22" t="s">
        <v>286</v>
      </c>
      <c r="B275" s="12" t="s">
        <v>1285</v>
      </c>
      <c r="C275" s="12" t="s">
        <v>2015</v>
      </c>
      <c r="D275" s="13">
        <v>45697</v>
      </c>
      <c r="E275" s="14">
        <f t="shared" si="40"/>
        <v>562836</v>
      </c>
      <c r="F275" s="12">
        <v>42069</v>
      </c>
      <c r="G275" s="12">
        <v>4834</v>
      </c>
      <c r="H275" s="15">
        <f t="shared" si="41"/>
        <v>21034.5</v>
      </c>
      <c r="I275" s="15">
        <f t="shared" si="42"/>
        <v>8413.8000000000011</v>
      </c>
      <c r="J275" s="15">
        <f t="shared" si="43"/>
        <v>12620.699999999997</v>
      </c>
      <c r="K275" s="15">
        <f t="shared" si="44"/>
        <v>2524.14</v>
      </c>
      <c r="L275" s="12">
        <v>200</v>
      </c>
      <c r="M275" s="12">
        <f t="shared" si="45"/>
        <v>208</v>
      </c>
      <c r="N275" s="15">
        <v>3</v>
      </c>
      <c r="O275" s="15">
        <f t="shared" si="46"/>
        <v>101.12740384615384</v>
      </c>
      <c r="P275" s="15">
        <f t="shared" si="47"/>
        <v>202.25480769230768</v>
      </c>
      <c r="Q275" s="15">
        <f t="shared" si="48"/>
        <v>606.76442307692309</v>
      </c>
      <c r="R275" s="12">
        <v>44880</v>
      </c>
      <c r="S275" s="15">
        <f t="shared" si="49"/>
        <v>49714</v>
      </c>
      <c r="T275" s="20">
        <f>S275/median_percentile!$B$1</f>
        <v>0.98641824657479882</v>
      </c>
      <c r="U275" s="24" t="str" cm="1">
        <f t="array" ref="U275">_xlfn.IFS(T275&lt;1,"underpaid",T275&gt;1,"overpaid",T275=1,"median pay")</f>
        <v>underpaid</v>
      </c>
      <c r="V275" s="5"/>
    </row>
    <row r="276" spans="1:22" x14ac:dyDescent="0.3">
      <c r="A276" s="21" t="s">
        <v>287</v>
      </c>
      <c r="B276" s="8" t="s">
        <v>1286</v>
      </c>
      <c r="C276" s="8" t="s">
        <v>2015</v>
      </c>
      <c r="D276" s="9">
        <v>45906</v>
      </c>
      <c r="E276" s="10">
        <f t="shared" si="40"/>
        <v>604680</v>
      </c>
      <c r="F276" s="8">
        <v>45587</v>
      </c>
      <c r="G276" s="8">
        <v>4803</v>
      </c>
      <c r="H276" s="11">
        <f t="shared" si="41"/>
        <v>22793.5</v>
      </c>
      <c r="I276" s="11">
        <f t="shared" si="42"/>
        <v>9117.4</v>
      </c>
      <c r="J276" s="11">
        <f t="shared" si="43"/>
        <v>13676.099999999999</v>
      </c>
      <c r="K276" s="11">
        <f t="shared" si="44"/>
        <v>2735.22</v>
      </c>
      <c r="L276" s="8">
        <v>200</v>
      </c>
      <c r="M276" s="8">
        <f t="shared" si="45"/>
        <v>208</v>
      </c>
      <c r="N276" s="11">
        <v>5</v>
      </c>
      <c r="O276" s="11">
        <f t="shared" si="46"/>
        <v>109.58413461538461</v>
      </c>
      <c r="P276" s="11">
        <f t="shared" si="47"/>
        <v>219.16826923076923</v>
      </c>
      <c r="Q276" s="11">
        <f t="shared" si="48"/>
        <v>1095.8413461538462</v>
      </c>
      <c r="R276" s="8">
        <v>47834</v>
      </c>
      <c r="S276" s="11">
        <f t="shared" si="49"/>
        <v>52637</v>
      </c>
      <c r="T276" s="20">
        <f>S276/median_percentile!$B$1</f>
        <v>1.0444160044445767</v>
      </c>
      <c r="U276" s="24" t="str" cm="1">
        <f t="array" ref="U276">_xlfn.IFS(T276&lt;1,"underpaid",T276&gt;1,"overpaid",T276=1,"median pay")</f>
        <v>overpaid</v>
      </c>
      <c r="V276" s="5"/>
    </row>
    <row r="277" spans="1:22" x14ac:dyDescent="0.3">
      <c r="A277" s="22" t="s">
        <v>288</v>
      </c>
      <c r="B277" s="12" t="s">
        <v>1287</v>
      </c>
      <c r="C277" s="12" t="s">
        <v>2014</v>
      </c>
      <c r="D277" s="13">
        <v>44618</v>
      </c>
      <c r="E277" s="14">
        <f t="shared" si="40"/>
        <v>972996</v>
      </c>
      <c r="F277" s="12">
        <v>67821</v>
      </c>
      <c r="G277" s="12">
        <v>13262</v>
      </c>
      <c r="H277" s="15">
        <f t="shared" si="41"/>
        <v>33910.5</v>
      </c>
      <c r="I277" s="15">
        <f t="shared" si="42"/>
        <v>13564.2</v>
      </c>
      <c r="J277" s="15">
        <f t="shared" si="43"/>
        <v>20346.300000000003</v>
      </c>
      <c r="K277" s="15">
        <f t="shared" si="44"/>
        <v>4069.2599999999998</v>
      </c>
      <c r="L277" s="12">
        <v>200</v>
      </c>
      <c r="M277" s="12">
        <f t="shared" si="45"/>
        <v>208</v>
      </c>
      <c r="N277" s="15">
        <v>3</v>
      </c>
      <c r="O277" s="15">
        <f t="shared" si="46"/>
        <v>163.03125</v>
      </c>
      <c r="P277" s="15">
        <f t="shared" si="47"/>
        <v>326.0625</v>
      </c>
      <c r="Q277" s="15">
        <f t="shared" si="48"/>
        <v>978.1875</v>
      </c>
      <c r="R277" s="12">
        <v>77944</v>
      </c>
      <c r="S277" s="15">
        <f t="shared" si="49"/>
        <v>91206</v>
      </c>
      <c r="T277" s="20">
        <f>S277/median_percentile!$B$1</f>
        <v>1.8096967171642013</v>
      </c>
      <c r="U277" s="24" t="str" cm="1">
        <f t="array" ref="U277">_xlfn.IFS(T277&lt;1,"underpaid",T277&gt;1,"overpaid",T277=1,"median pay")</f>
        <v>overpaid</v>
      </c>
      <c r="V277" s="5"/>
    </row>
    <row r="278" spans="1:22" x14ac:dyDescent="0.3">
      <c r="A278" s="21" t="s">
        <v>289</v>
      </c>
      <c r="B278" s="8" t="s">
        <v>1288</v>
      </c>
      <c r="C278" s="8" t="s">
        <v>2013</v>
      </c>
      <c r="D278" s="9">
        <v>44210</v>
      </c>
      <c r="E278" s="10">
        <f t="shared" si="40"/>
        <v>709680</v>
      </c>
      <c r="F278" s="8">
        <v>51464</v>
      </c>
      <c r="G278" s="8">
        <v>7676</v>
      </c>
      <c r="H278" s="11">
        <f t="shared" si="41"/>
        <v>25732</v>
      </c>
      <c r="I278" s="11">
        <f t="shared" si="42"/>
        <v>10292.800000000001</v>
      </c>
      <c r="J278" s="11">
        <f t="shared" si="43"/>
        <v>15439.199999999997</v>
      </c>
      <c r="K278" s="11">
        <f t="shared" si="44"/>
        <v>3087.8399999999997</v>
      </c>
      <c r="L278" s="8">
        <v>200</v>
      </c>
      <c r="M278" s="8">
        <f t="shared" si="45"/>
        <v>208</v>
      </c>
      <c r="N278" s="11">
        <v>2</v>
      </c>
      <c r="O278" s="11">
        <f t="shared" si="46"/>
        <v>123.71153846153847</v>
      </c>
      <c r="P278" s="11">
        <f t="shared" si="47"/>
        <v>247.42307692307693</v>
      </c>
      <c r="Q278" s="11">
        <f t="shared" si="48"/>
        <v>494.84615384615387</v>
      </c>
      <c r="R278" s="8">
        <v>56710</v>
      </c>
      <c r="S278" s="11">
        <f t="shared" si="49"/>
        <v>64386</v>
      </c>
      <c r="T278" s="20">
        <f>S278/median_percentile!$B$1</f>
        <v>1.2775380219649395</v>
      </c>
      <c r="U278" s="24" t="str" cm="1">
        <f t="array" ref="U278">_xlfn.IFS(T278&lt;1,"underpaid",T278&gt;1,"overpaid",T278=1,"median pay")</f>
        <v>overpaid</v>
      </c>
      <c r="V278" s="5"/>
    </row>
    <row r="279" spans="1:22" x14ac:dyDescent="0.3">
      <c r="A279" s="22" t="s">
        <v>290</v>
      </c>
      <c r="B279" s="12" t="s">
        <v>1289</v>
      </c>
      <c r="C279" s="12" t="s">
        <v>2013</v>
      </c>
      <c r="D279" s="13">
        <v>44100</v>
      </c>
      <c r="E279" s="14">
        <f t="shared" si="40"/>
        <v>868416</v>
      </c>
      <c r="F279" s="12">
        <v>60656</v>
      </c>
      <c r="G279" s="12">
        <v>11712</v>
      </c>
      <c r="H279" s="15">
        <f t="shared" si="41"/>
        <v>30328</v>
      </c>
      <c r="I279" s="15">
        <f t="shared" si="42"/>
        <v>12131.2</v>
      </c>
      <c r="J279" s="15">
        <f t="shared" si="43"/>
        <v>18196.800000000003</v>
      </c>
      <c r="K279" s="15">
        <f t="shared" si="44"/>
        <v>3639.3599999999997</v>
      </c>
      <c r="L279" s="12">
        <v>200</v>
      </c>
      <c r="M279" s="12">
        <f t="shared" si="45"/>
        <v>208</v>
      </c>
      <c r="N279" s="15">
        <v>5</v>
      </c>
      <c r="O279" s="15">
        <f t="shared" si="46"/>
        <v>145.80769230769232</v>
      </c>
      <c r="P279" s="15">
        <f t="shared" si="47"/>
        <v>291.61538461538464</v>
      </c>
      <c r="Q279" s="15">
        <f t="shared" si="48"/>
        <v>1458.0769230769233</v>
      </c>
      <c r="R279" s="12">
        <v>69539</v>
      </c>
      <c r="S279" s="15">
        <f t="shared" si="49"/>
        <v>81251</v>
      </c>
      <c r="T279" s="20">
        <f>S279/median_percentile!$B$1</f>
        <v>1.612170997152693</v>
      </c>
      <c r="U279" s="24" t="str" cm="1">
        <f t="array" ref="U279">_xlfn.IFS(T279&lt;1,"underpaid",T279&gt;1,"overpaid",T279=1,"median pay")</f>
        <v>overpaid</v>
      </c>
      <c r="V279" s="5"/>
    </row>
    <row r="280" spans="1:22" x14ac:dyDescent="0.3">
      <c r="A280" s="21" t="s">
        <v>291</v>
      </c>
      <c r="B280" s="8" t="s">
        <v>1290</v>
      </c>
      <c r="C280" s="8" t="s">
        <v>2013</v>
      </c>
      <c r="D280" s="9">
        <v>43628</v>
      </c>
      <c r="E280" s="10">
        <f t="shared" si="40"/>
        <v>638592</v>
      </c>
      <c r="F280" s="8">
        <v>45674</v>
      </c>
      <c r="G280" s="8">
        <v>7542</v>
      </c>
      <c r="H280" s="11">
        <f t="shared" si="41"/>
        <v>22837</v>
      </c>
      <c r="I280" s="11">
        <f t="shared" si="42"/>
        <v>9134.8000000000011</v>
      </c>
      <c r="J280" s="11">
        <f t="shared" si="43"/>
        <v>13702.199999999997</v>
      </c>
      <c r="K280" s="11">
        <f t="shared" si="44"/>
        <v>2740.44</v>
      </c>
      <c r="L280" s="8">
        <v>200</v>
      </c>
      <c r="M280" s="8">
        <f t="shared" si="45"/>
        <v>208</v>
      </c>
      <c r="N280" s="11">
        <v>0</v>
      </c>
      <c r="O280" s="11">
        <f t="shared" si="46"/>
        <v>109.79326923076923</v>
      </c>
      <c r="P280" s="11">
        <f t="shared" si="47"/>
        <v>219.58653846153845</v>
      </c>
      <c r="Q280" s="11">
        <f t="shared" si="48"/>
        <v>0</v>
      </c>
      <c r="R280" s="8">
        <v>51037</v>
      </c>
      <c r="S280" s="11">
        <f t="shared" si="49"/>
        <v>58579</v>
      </c>
      <c r="T280" s="20">
        <f>S280/median_percentile!$B$1</f>
        <v>1.162316338779924</v>
      </c>
      <c r="U280" s="24" t="str" cm="1">
        <f t="array" ref="U280">_xlfn.IFS(T280&lt;1,"underpaid",T280&gt;1,"overpaid",T280=1,"median pay")</f>
        <v>overpaid</v>
      </c>
      <c r="V280" s="5"/>
    </row>
    <row r="281" spans="1:22" x14ac:dyDescent="0.3">
      <c r="A281" s="22" t="s">
        <v>292</v>
      </c>
      <c r="B281" s="12" t="s">
        <v>1291</v>
      </c>
      <c r="C281" s="12" t="s">
        <v>2011</v>
      </c>
      <c r="D281" s="13">
        <v>44001</v>
      </c>
      <c r="E281" s="14">
        <f t="shared" si="40"/>
        <v>590376</v>
      </c>
      <c r="F281" s="12">
        <v>41757</v>
      </c>
      <c r="G281" s="12">
        <v>7441</v>
      </c>
      <c r="H281" s="15">
        <f t="shared" si="41"/>
        <v>20878.5</v>
      </c>
      <c r="I281" s="15">
        <f t="shared" si="42"/>
        <v>8351.4</v>
      </c>
      <c r="J281" s="15">
        <f t="shared" si="43"/>
        <v>12527.099999999999</v>
      </c>
      <c r="K281" s="15">
        <f t="shared" si="44"/>
        <v>2505.42</v>
      </c>
      <c r="L281" s="12">
        <v>200</v>
      </c>
      <c r="M281" s="12">
        <f t="shared" si="45"/>
        <v>208</v>
      </c>
      <c r="N281" s="15">
        <v>2</v>
      </c>
      <c r="O281" s="15">
        <f t="shared" si="46"/>
        <v>100.37740384615384</v>
      </c>
      <c r="P281" s="15">
        <f t="shared" si="47"/>
        <v>200.75480769230768</v>
      </c>
      <c r="Q281" s="15">
        <f t="shared" si="48"/>
        <v>401.50961538461536</v>
      </c>
      <c r="R281" s="12">
        <v>46493</v>
      </c>
      <c r="S281" s="15">
        <f t="shared" si="49"/>
        <v>53934</v>
      </c>
      <c r="T281" s="20">
        <f>S281/median_percentile!$B$1</f>
        <v>1.0701508973481353</v>
      </c>
      <c r="U281" s="24" t="str" cm="1">
        <f t="array" ref="U281">_xlfn.IFS(T281&lt;1,"underpaid",T281&gt;1,"overpaid",T281=1,"median pay")</f>
        <v>overpaid</v>
      </c>
      <c r="V281" s="5"/>
    </row>
    <row r="282" spans="1:22" x14ac:dyDescent="0.3">
      <c r="A282" s="21" t="s">
        <v>293</v>
      </c>
      <c r="B282" s="8" t="s">
        <v>1292</v>
      </c>
      <c r="C282" s="8" t="s">
        <v>2016</v>
      </c>
      <c r="D282" s="9">
        <v>44776</v>
      </c>
      <c r="E282" s="10">
        <f t="shared" si="40"/>
        <v>531972</v>
      </c>
      <c r="F282" s="8">
        <v>39287</v>
      </c>
      <c r="G282" s="8">
        <v>5044</v>
      </c>
      <c r="H282" s="11">
        <f t="shared" si="41"/>
        <v>19643.5</v>
      </c>
      <c r="I282" s="11">
        <f t="shared" si="42"/>
        <v>7857.4000000000005</v>
      </c>
      <c r="J282" s="11">
        <f t="shared" si="43"/>
        <v>11786.099999999999</v>
      </c>
      <c r="K282" s="11">
        <f t="shared" si="44"/>
        <v>2357.2199999999998</v>
      </c>
      <c r="L282" s="8">
        <v>200</v>
      </c>
      <c r="M282" s="8">
        <f t="shared" si="45"/>
        <v>208</v>
      </c>
      <c r="N282" s="11">
        <v>2</v>
      </c>
      <c r="O282" s="11">
        <f t="shared" si="46"/>
        <v>94.43990384615384</v>
      </c>
      <c r="P282" s="11">
        <f t="shared" si="47"/>
        <v>188.87980769230768</v>
      </c>
      <c r="Q282" s="11">
        <f t="shared" si="48"/>
        <v>377.75961538461536</v>
      </c>
      <c r="R282" s="8">
        <v>41774</v>
      </c>
      <c r="S282" s="11">
        <f t="shared" si="49"/>
        <v>46818</v>
      </c>
      <c r="T282" s="20">
        <f>S282/median_percentile!$B$1</f>
        <v>0.9289562189350874</v>
      </c>
      <c r="U282" s="24" t="str" cm="1">
        <f t="array" ref="U282">_xlfn.IFS(T282&lt;1,"underpaid",T282&gt;1,"overpaid",T282=1,"median pay")</f>
        <v>underpaid</v>
      </c>
      <c r="V282" s="5"/>
    </row>
    <row r="283" spans="1:22" x14ac:dyDescent="0.3">
      <c r="A283" s="22" t="s">
        <v>294</v>
      </c>
      <c r="B283" s="12" t="s">
        <v>1293</v>
      </c>
      <c r="C283" s="12" t="s">
        <v>2013</v>
      </c>
      <c r="D283" s="13">
        <v>45460</v>
      </c>
      <c r="E283" s="14">
        <f t="shared" si="40"/>
        <v>713400</v>
      </c>
      <c r="F283" s="12">
        <v>52497</v>
      </c>
      <c r="G283" s="12">
        <v>6953</v>
      </c>
      <c r="H283" s="15">
        <f t="shared" si="41"/>
        <v>26248.5</v>
      </c>
      <c r="I283" s="15">
        <f t="shared" si="42"/>
        <v>10499.400000000001</v>
      </c>
      <c r="J283" s="15">
        <f t="shared" si="43"/>
        <v>15749.099999999999</v>
      </c>
      <c r="K283" s="15">
        <f t="shared" si="44"/>
        <v>3149.8199999999997</v>
      </c>
      <c r="L283" s="12">
        <v>200</v>
      </c>
      <c r="M283" s="12">
        <f t="shared" si="45"/>
        <v>208</v>
      </c>
      <c r="N283" s="15">
        <v>2</v>
      </c>
      <c r="O283" s="15">
        <f t="shared" si="46"/>
        <v>126.19471153846153</v>
      </c>
      <c r="P283" s="15">
        <f t="shared" si="47"/>
        <v>252.38942307692307</v>
      </c>
      <c r="Q283" s="15">
        <f t="shared" si="48"/>
        <v>504.77884615384613</v>
      </c>
      <c r="R283" s="12">
        <v>56538</v>
      </c>
      <c r="S283" s="15">
        <f t="shared" si="49"/>
        <v>63491</v>
      </c>
      <c r="T283" s="20">
        <f>S283/median_percentile!$B$1</f>
        <v>1.259779556931258</v>
      </c>
      <c r="U283" s="24" t="str" cm="1">
        <f t="array" ref="U283">_xlfn.IFS(T283&lt;1,"underpaid",T283&gt;1,"overpaid",T283=1,"median pay")</f>
        <v>overpaid</v>
      </c>
      <c r="V283" s="5"/>
    </row>
    <row r="284" spans="1:22" x14ac:dyDescent="0.3">
      <c r="A284" s="21" t="s">
        <v>295</v>
      </c>
      <c r="B284" s="8" t="s">
        <v>1294</v>
      </c>
      <c r="C284" s="8" t="s">
        <v>2014</v>
      </c>
      <c r="D284" s="9">
        <v>44290</v>
      </c>
      <c r="E284" s="10">
        <f t="shared" si="40"/>
        <v>767760</v>
      </c>
      <c r="F284" s="8">
        <v>54637</v>
      </c>
      <c r="G284" s="8">
        <v>9343</v>
      </c>
      <c r="H284" s="11">
        <f t="shared" si="41"/>
        <v>27318.5</v>
      </c>
      <c r="I284" s="11">
        <f t="shared" si="42"/>
        <v>10927.400000000001</v>
      </c>
      <c r="J284" s="11">
        <f t="shared" si="43"/>
        <v>16391.099999999999</v>
      </c>
      <c r="K284" s="11">
        <f t="shared" si="44"/>
        <v>3278.22</v>
      </c>
      <c r="L284" s="8">
        <v>200</v>
      </c>
      <c r="M284" s="8">
        <f t="shared" si="45"/>
        <v>208</v>
      </c>
      <c r="N284" s="11">
        <v>2</v>
      </c>
      <c r="O284" s="11">
        <f t="shared" si="46"/>
        <v>131.33894230769232</v>
      </c>
      <c r="P284" s="11">
        <f t="shared" si="47"/>
        <v>262.67788461538464</v>
      </c>
      <c r="Q284" s="11">
        <f t="shared" si="48"/>
        <v>525.35576923076928</v>
      </c>
      <c r="R284" s="8">
        <v>60502</v>
      </c>
      <c r="S284" s="11">
        <f t="shared" si="49"/>
        <v>69845</v>
      </c>
      <c r="T284" s="20">
        <f>S284/median_percentile!$B$1</f>
        <v>1.3858547377402106</v>
      </c>
      <c r="U284" s="24" t="str" cm="1">
        <f t="array" ref="U284">_xlfn.IFS(T284&lt;1,"underpaid",T284&gt;1,"overpaid",T284=1,"median pay")</f>
        <v>overpaid</v>
      </c>
      <c r="V284" s="5"/>
    </row>
    <row r="285" spans="1:22" x14ac:dyDescent="0.3">
      <c r="A285" s="22" t="s">
        <v>296</v>
      </c>
      <c r="B285" s="12" t="s">
        <v>1295</v>
      </c>
      <c r="C285" s="12" t="s">
        <v>2014</v>
      </c>
      <c r="D285" s="13">
        <v>45068</v>
      </c>
      <c r="E285" s="14">
        <f t="shared" si="40"/>
        <v>1004124</v>
      </c>
      <c r="F285" s="12">
        <v>74174</v>
      </c>
      <c r="G285" s="12">
        <v>9503</v>
      </c>
      <c r="H285" s="15">
        <f t="shared" si="41"/>
        <v>37087</v>
      </c>
      <c r="I285" s="15">
        <f t="shared" si="42"/>
        <v>14834.800000000001</v>
      </c>
      <c r="J285" s="15">
        <f t="shared" si="43"/>
        <v>22252.199999999997</v>
      </c>
      <c r="K285" s="15">
        <f t="shared" si="44"/>
        <v>4450.4399999999996</v>
      </c>
      <c r="L285" s="12">
        <v>200</v>
      </c>
      <c r="M285" s="12">
        <f t="shared" si="45"/>
        <v>208</v>
      </c>
      <c r="N285" s="15">
        <v>1</v>
      </c>
      <c r="O285" s="15">
        <f t="shared" si="46"/>
        <v>178.30288461538461</v>
      </c>
      <c r="P285" s="15">
        <f t="shared" si="47"/>
        <v>356.60576923076923</v>
      </c>
      <c r="Q285" s="15">
        <f t="shared" si="48"/>
        <v>356.60576923076923</v>
      </c>
      <c r="R285" s="12">
        <v>79645</v>
      </c>
      <c r="S285" s="15">
        <f t="shared" si="49"/>
        <v>89148</v>
      </c>
      <c r="T285" s="20">
        <f>S285/median_percentile!$B$1</f>
        <v>1.7688621685169201</v>
      </c>
      <c r="U285" s="24" t="str" cm="1">
        <f t="array" ref="U285">_xlfn.IFS(T285&lt;1,"underpaid",T285&gt;1,"overpaid",T285=1,"median pay")</f>
        <v>overpaid</v>
      </c>
      <c r="V285" s="5"/>
    </row>
    <row r="286" spans="1:22" x14ac:dyDescent="0.3">
      <c r="A286" s="21" t="s">
        <v>297</v>
      </c>
      <c r="B286" s="8" t="s">
        <v>1296</v>
      </c>
      <c r="C286" s="8" t="s">
        <v>2016</v>
      </c>
      <c r="D286" s="9">
        <v>43603</v>
      </c>
      <c r="E286" s="10">
        <f t="shared" si="40"/>
        <v>389100</v>
      </c>
      <c r="F286" s="8">
        <v>28829</v>
      </c>
      <c r="G286" s="8">
        <v>3596</v>
      </c>
      <c r="H286" s="11">
        <f t="shared" si="41"/>
        <v>14414.5</v>
      </c>
      <c r="I286" s="11">
        <f t="shared" si="42"/>
        <v>5765.8</v>
      </c>
      <c r="J286" s="11">
        <f t="shared" si="43"/>
        <v>8648.7000000000007</v>
      </c>
      <c r="K286" s="11">
        <f t="shared" si="44"/>
        <v>1729.74</v>
      </c>
      <c r="L286" s="8">
        <v>200</v>
      </c>
      <c r="M286" s="8">
        <f t="shared" si="45"/>
        <v>208</v>
      </c>
      <c r="N286" s="11">
        <v>0</v>
      </c>
      <c r="O286" s="11">
        <f t="shared" si="46"/>
        <v>69.300480769230774</v>
      </c>
      <c r="P286" s="11">
        <f t="shared" si="47"/>
        <v>138.60096153846155</v>
      </c>
      <c r="Q286" s="11">
        <f t="shared" si="48"/>
        <v>0</v>
      </c>
      <c r="R286" s="8">
        <v>30976</v>
      </c>
      <c r="S286" s="11">
        <f t="shared" si="49"/>
        <v>34572</v>
      </c>
      <c r="T286" s="20">
        <f>S286/median_percentile!$B$1</f>
        <v>0.6859727968094288</v>
      </c>
      <c r="U286" s="24" t="str" cm="1">
        <f t="array" ref="U286">_xlfn.IFS(T286&lt;1,"underpaid",T286&gt;1,"overpaid",T286=1,"median pay")</f>
        <v>underpaid</v>
      </c>
      <c r="V286" s="5"/>
    </row>
    <row r="287" spans="1:22" x14ac:dyDescent="0.3">
      <c r="A287" s="22" t="s">
        <v>298</v>
      </c>
      <c r="B287" s="12" t="s">
        <v>1297</v>
      </c>
      <c r="C287" s="12" t="s">
        <v>2013</v>
      </c>
      <c r="D287" s="13">
        <v>45456</v>
      </c>
      <c r="E287" s="14">
        <f t="shared" si="40"/>
        <v>670896</v>
      </c>
      <c r="F287" s="12">
        <v>47015</v>
      </c>
      <c r="G287" s="12">
        <v>8893</v>
      </c>
      <c r="H287" s="15">
        <f t="shared" si="41"/>
        <v>23507.5</v>
      </c>
      <c r="I287" s="15">
        <f t="shared" si="42"/>
        <v>9403</v>
      </c>
      <c r="J287" s="15">
        <f t="shared" si="43"/>
        <v>14104.5</v>
      </c>
      <c r="K287" s="15">
        <f t="shared" si="44"/>
        <v>2820.9</v>
      </c>
      <c r="L287" s="12">
        <v>200</v>
      </c>
      <c r="M287" s="12">
        <f t="shared" si="45"/>
        <v>208</v>
      </c>
      <c r="N287" s="15">
        <v>0</v>
      </c>
      <c r="O287" s="15">
        <f t="shared" si="46"/>
        <v>113.01682692307692</v>
      </c>
      <c r="P287" s="15">
        <f t="shared" si="47"/>
        <v>226.03365384615384</v>
      </c>
      <c r="Q287" s="15">
        <f t="shared" si="48"/>
        <v>0</v>
      </c>
      <c r="R287" s="12">
        <v>52888</v>
      </c>
      <c r="S287" s="15">
        <f t="shared" si="49"/>
        <v>61781</v>
      </c>
      <c r="T287" s="20">
        <f>S287/median_percentile!$B$1</f>
        <v>1.2258499756937211</v>
      </c>
      <c r="U287" s="24" t="str" cm="1">
        <f t="array" ref="U287">_xlfn.IFS(T287&lt;1,"underpaid",T287&gt;1,"overpaid",T287=1,"median pay")</f>
        <v>overpaid</v>
      </c>
      <c r="V287" s="5"/>
    </row>
    <row r="288" spans="1:22" x14ac:dyDescent="0.3">
      <c r="A288" s="21" t="s">
        <v>299</v>
      </c>
      <c r="B288" s="8" t="s">
        <v>1298</v>
      </c>
      <c r="C288" s="8" t="s">
        <v>2014</v>
      </c>
      <c r="D288" s="9">
        <v>45489</v>
      </c>
      <c r="E288" s="10">
        <f t="shared" si="40"/>
        <v>821340</v>
      </c>
      <c r="F288" s="8">
        <v>61000</v>
      </c>
      <c r="G288" s="8">
        <v>7445</v>
      </c>
      <c r="H288" s="11">
        <f t="shared" si="41"/>
        <v>30500</v>
      </c>
      <c r="I288" s="11">
        <f t="shared" si="42"/>
        <v>12200</v>
      </c>
      <c r="J288" s="11">
        <f t="shared" si="43"/>
        <v>18300</v>
      </c>
      <c r="K288" s="11">
        <f t="shared" si="44"/>
        <v>3660</v>
      </c>
      <c r="L288" s="8">
        <v>200</v>
      </c>
      <c r="M288" s="8">
        <f t="shared" si="45"/>
        <v>208</v>
      </c>
      <c r="N288" s="11">
        <v>4</v>
      </c>
      <c r="O288" s="11">
        <f t="shared" si="46"/>
        <v>146.63461538461539</v>
      </c>
      <c r="P288" s="11">
        <f t="shared" si="47"/>
        <v>293.26923076923077</v>
      </c>
      <c r="Q288" s="11">
        <f t="shared" si="48"/>
        <v>1173.0769230769231</v>
      </c>
      <c r="R288" s="8">
        <v>65601</v>
      </c>
      <c r="S288" s="11">
        <f t="shared" si="49"/>
        <v>73046</v>
      </c>
      <c r="T288" s="20">
        <f>S288/median_percentile!$B$1</f>
        <v>1.4493685327936348</v>
      </c>
      <c r="U288" s="24" t="str" cm="1">
        <f t="array" ref="U288">_xlfn.IFS(T288&lt;1,"underpaid",T288&gt;1,"overpaid",T288=1,"median pay")</f>
        <v>overpaid</v>
      </c>
      <c r="V288" s="5"/>
    </row>
    <row r="289" spans="1:22" x14ac:dyDescent="0.3">
      <c r="A289" s="22" t="s">
        <v>300</v>
      </c>
      <c r="B289" s="12" t="s">
        <v>1299</v>
      </c>
      <c r="C289" s="12" t="s">
        <v>2011</v>
      </c>
      <c r="D289" s="13">
        <v>45215</v>
      </c>
      <c r="E289" s="14">
        <f t="shared" si="40"/>
        <v>486552</v>
      </c>
      <c r="F289" s="12">
        <v>36288</v>
      </c>
      <c r="G289" s="12">
        <v>4258</v>
      </c>
      <c r="H289" s="15">
        <f t="shared" si="41"/>
        <v>18144</v>
      </c>
      <c r="I289" s="15">
        <f t="shared" si="42"/>
        <v>7257.6</v>
      </c>
      <c r="J289" s="15">
        <f t="shared" si="43"/>
        <v>10886.400000000001</v>
      </c>
      <c r="K289" s="15">
        <f t="shared" si="44"/>
        <v>2177.2799999999997</v>
      </c>
      <c r="L289" s="12">
        <v>200</v>
      </c>
      <c r="M289" s="12">
        <f t="shared" si="45"/>
        <v>208</v>
      </c>
      <c r="N289" s="15">
        <v>5</v>
      </c>
      <c r="O289" s="15">
        <f t="shared" si="46"/>
        <v>87.230769230769226</v>
      </c>
      <c r="P289" s="15">
        <f t="shared" si="47"/>
        <v>174.46153846153845</v>
      </c>
      <c r="Q289" s="15">
        <f t="shared" si="48"/>
        <v>872.30769230769226</v>
      </c>
      <c r="R289" s="12">
        <v>38169</v>
      </c>
      <c r="S289" s="15">
        <f t="shared" si="49"/>
        <v>42427</v>
      </c>
      <c r="T289" s="20">
        <f>S289/median_percentile!$B$1</f>
        <v>0.8418306100379972</v>
      </c>
      <c r="U289" s="24" t="str" cm="1">
        <f t="array" ref="U289">_xlfn.IFS(T289&lt;1,"underpaid",T289&gt;1,"overpaid",T289=1,"median pay")</f>
        <v>underpaid</v>
      </c>
      <c r="V289" s="5"/>
    </row>
    <row r="290" spans="1:22" x14ac:dyDescent="0.3">
      <c r="A290" s="21" t="s">
        <v>301</v>
      </c>
      <c r="B290" s="8" t="s">
        <v>1300</v>
      </c>
      <c r="C290" s="8" t="s">
        <v>2014</v>
      </c>
      <c r="D290" s="9">
        <v>44269</v>
      </c>
      <c r="E290" s="10">
        <f t="shared" si="40"/>
        <v>841740</v>
      </c>
      <c r="F290" s="8">
        <v>60283</v>
      </c>
      <c r="G290" s="8">
        <v>9862</v>
      </c>
      <c r="H290" s="11">
        <f t="shared" si="41"/>
        <v>30141.5</v>
      </c>
      <c r="I290" s="11">
        <f t="shared" si="42"/>
        <v>12056.6</v>
      </c>
      <c r="J290" s="11">
        <f t="shared" si="43"/>
        <v>18084.900000000001</v>
      </c>
      <c r="K290" s="11">
        <f t="shared" si="44"/>
        <v>3616.98</v>
      </c>
      <c r="L290" s="8">
        <v>200</v>
      </c>
      <c r="M290" s="8">
        <f t="shared" si="45"/>
        <v>208</v>
      </c>
      <c r="N290" s="11">
        <v>1</v>
      </c>
      <c r="O290" s="11">
        <f t="shared" si="46"/>
        <v>144.91105769230768</v>
      </c>
      <c r="P290" s="11">
        <f t="shared" si="47"/>
        <v>289.82211538461536</v>
      </c>
      <c r="Q290" s="11">
        <f t="shared" si="48"/>
        <v>289.82211538461536</v>
      </c>
      <c r="R290" s="8">
        <v>66329</v>
      </c>
      <c r="S290" s="11">
        <f t="shared" si="49"/>
        <v>76191</v>
      </c>
      <c r="T290" s="20">
        <f>S290/median_percentile!$B$1</f>
        <v>1.5117711836661805</v>
      </c>
      <c r="U290" s="24" t="str" cm="1">
        <f t="array" ref="U290">_xlfn.IFS(T290&lt;1,"underpaid",T290&gt;1,"overpaid",T290=1,"median pay")</f>
        <v>overpaid</v>
      </c>
      <c r="V290" s="5"/>
    </row>
    <row r="291" spans="1:22" x14ac:dyDescent="0.3">
      <c r="A291" s="22" t="s">
        <v>302</v>
      </c>
      <c r="B291" s="12" t="s">
        <v>1301</v>
      </c>
      <c r="C291" s="12" t="s">
        <v>2012</v>
      </c>
      <c r="D291" s="13">
        <v>45923</v>
      </c>
      <c r="E291" s="14">
        <f t="shared" si="40"/>
        <v>527484</v>
      </c>
      <c r="F291" s="12">
        <v>36709</v>
      </c>
      <c r="G291" s="12">
        <v>7248</v>
      </c>
      <c r="H291" s="15">
        <f t="shared" si="41"/>
        <v>18354.5</v>
      </c>
      <c r="I291" s="15">
        <f t="shared" si="42"/>
        <v>7341.8</v>
      </c>
      <c r="J291" s="15">
        <f t="shared" si="43"/>
        <v>11012.7</v>
      </c>
      <c r="K291" s="15">
        <f t="shared" si="44"/>
        <v>2202.54</v>
      </c>
      <c r="L291" s="12">
        <v>200</v>
      </c>
      <c r="M291" s="12">
        <f t="shared" si="45"/>
        <v>208</v>
      </c>
      <c r="N291" s="15">
        <v>3</v>
      </c>
      <c r="O291" s="15">
        <f t="shared" si="46"/>
        <v>88.242788461538467</v>
      </c>
      <c r="P291" s="15">
        <f t="shared" si="47"/>
        <v>176.48557692307693</v>
      </c>
      <c r="Q291" s="15">
        <f t="shared" si="48"/>
        <v>529.45673076923083</v>
      </c>
      <c r="R291" s="12">
        <v>41555</v>
      </c>
      <c r="S291" s="15">
        <f t="shared" si="49"/>
        <v>48803</v>
      </c>
      <c r="T291" s="20">
        <f>S291/median_percentile!$B$1</f>
        <v>0.96834231177515206</v>
      </c>
      <c r="U291" s="24" t="str" cm="1">
        <f t="array" ref="U291">_xlfn.IFS(T291&lt;1,"underpaid",T291&gt;1,"overpaid",T291=1,"median pay")</f>
        <v>underpaid</v>
      </c>
      <c r="V291" s="5"/>
    </row>
    <row r="292" spans="1:22" x14ac:dyDescent="0.3">
      <c r="A292" s="21" t="s">
        <v>303</v>
      </c>
      <c r="B292" s="8" t="s">
        <v>1302</v>
      </c>
      <c r="C292" s="8" t="s">
        <v>2014</v>
      </c>
      <c r="D292" s="9">
        <v>43520</v>
      </c>
      <c r="E292" s="10">
        <f t="shared" si="40"/>
        <v>667140</v>
      </c>
      <c r="F292" s="8">
        <v>46350</v>
      </c>
      <c r="G292" s="8">
        <v>9245</v>
      </c>
      <c r="H292" s="11">
        <f t="shared" si="41"/>
        <v>23175</v>
      </c>
      <c r="I292" s="11">
        <f t="shared" si="42"/>
        <v>9270</v>
      </c>
      <c r="J292" s="11">
        <f t="shared" si="43"/>
        <v>13905</v>
      </c>
      <c r="K292" s="11">
        <f t="shared" si="44"/>
        <v>2781</v>
      </c>
      <c r="L292" s="8">
        <v>200</v>
      </c>
      <c r="M292" s="8">
        <f t="shared" si="45"/>
        <v>208</v>
      </c>
      <c r="N292" s="11">
        <v>5</v>
      </c>
      <c r="O292" s="11">
        <f t="shared" si="46"/>
        <v>111.41826923076923</v>
      </c>
      <c r="P292" s="11">
        <f t="shared" si="47"/>
        <v>222.83653846153845</v>
      </c>
      <c r="Q292" s="11">
        <f t="shared" si="48"/>
        <v>1114.1826923076924</v>
      </c>
      <c r="R292" s="8">
        <v>52614</v>
      </c>
      <c r="S292" s="11">
        <f t="shared" si="49"/>
        <v>61859</v>
      </c>
      <c r="T292" s="20">
        <f>S292/median_percentile!$B$1</f>
        <v>1.2273976408028018</v>
      </c>
      <c r="U292" s="24" t="str" cm="1">
        <f t="array" ref="U292">_xlfn.IFS(T292&lt;1,"underpaid",T292&gt;1,"overpaid",T292=1,"median pay")</f>
        <v>overpaid</v>
      </c>
      <c r="V292" s="5"/>
    </row>
    <row r="293" spans="1:22" x14ac:dyDescent="0.3">
      <c r="A293" s="22" t="s">
        <v>304</v>
      </c>
      <c r="B293" s="12" t="s">
        <v>1303</v>
      </c>
      <c r="C293" s="12" t="s">
        <v>2011</v>
      </c>
      <c r="D293" s="13">
        <v>44099</v>
      </c>
      <c r="E293" s="14">
        <f t="shared" si="40"/>
        <v>502056</v>
      </c>
      <c r="F293" s="12">
        <v>37892</v>
      </c>
      <c r="G293" s="12">
        <v>3946</v>
      </c>
      <c r="H293" s="15">
        <f t="shared" si="41"/>
        <v>18946</v>
      </c>
      <c r="I293" s="15">
        <f t="shared" si="42"/>
        <v>7578.4000000000005</v>
      </c>
      <c r="J293" s="15">
        <f t="shared" si="43"/>
        <v>11367.599999999999</v>
      </c>
      <c r="K293" s="15">
        <f t="shared" si="44"/>
        <v>2273.52</v>
      </c>
      <c r="L293" s="12">
        <v>200</v>
      </c>
      <c r="M293" s="12">
        <f t="shared" si="45"/>
        <v>208</v>
      </c>
      <c r="N293" s="15">
        <v>2</v>
      </c>
      <c r="O293" s="15">
        <f t="shared" si="46"/>
        <v>91.086538461538467</v>
      </c>
      <c r="P293" s="15">
        <f t="shared" si="47"/>
        <v>182.17307692307693</v>
      </c>
      <c r="Q293" s="15">
        <f t="shared" si="48"/>
        <v>364.34615384615387</v>
      </c>
      <c r="R293" s="12">
        <v>39996</v>
      </c>
      <c r="S293" s="15">
        <f t="shared" si="49"/>
        <v>43942</v>
      </c>
      <c r="T293" s="20">
        <f>S293/median_percentile!$B$1</f>
        <v>0.8718910285028324</v>
      </c>
      <c r="U293" s="24" t="str" cm="1">
        <f t="array" ref="U293">_xlfn.IFS(T293&lt;1,"underpaid",T293&gt;1,"overpaid",T293=1,"median pay")</f>
        <v>underpaid</v>
      </c>
      <c r="V293" s="5"/>
    </row>
    <row r="294" spans="1:22" x14ac:dyDescent="0.3">
      <c r="A294" s="21" t="s">
        <v>305</v>
      </c>
      <c r="B294" s="8" t="s">
        <v>1304</v>
      </c>
      <c r="C294" s="8" t="s">
        <v>2011</v>
      </c>
      <c r="D294" s="9">
        <v>44405</v>
      </c>
      <c r="E294" s="10">
        <f t="shared" si="40"/>
        <v>373368</v>
      </c>
      <c r="F294" s="8">
        <v>25943</v>
      </c>
      <c r="G294" s="8">
        <v>5171</v>
      </c>
      <c r="H294" s="11">
        <f t="shared" si="41"/>
        <v>12971.5</v>
      </c>
      <c r="I294" s="11">
        <f t="shared" si="42"/>
        <v>5188.6000000000004</v>
      </c>
      <c r="J294" s="11">
        <f t="shared" si="43"/>
        <v>7782.9000000000015</v>
      </c>
      <c r="K294" s="11">
        <f t="shared" si="44"/>
        <v>1556.58</v>
      </c>
      <c r="L294" s="8">
        <v>200</v>
      </c>
      <c r="M294" s="8">
        <f t="shared" si="45"/>
        <v>208</v>
      </c>
      <c r="N294" s="11">
        <v>0</v>
      </c>
      <c r="O294" s="11">
        <f t="shared" si="46"/>
        <v>62.362980769230766</v>
      </c>
      <c r="P294" s="11">
        <f t="shared" si="47"/>
        <v>124.72596153846153</v>
      </c>
      <c r="Q294" s="11">
        <f t="shared" si="48"/>
        <v>0</v>
      </c>
      <c r="R294" s="8">
        <v>29790</v>
      </c>
      <c r="S294" s="11">
        <f t="shared" si="49"/>
        <v>34961</v>
      </c>
      <c r="T294" s="20">
        <f>S294/median_percentile!$B$1</f>
        <v>0.69369128049445916</v>
      </c>
      <c r="U294" s="24" t="str" cm="1">
        <f t="array" ref="U294">_xlfn.IFS(T294&lt;1,"underpaid",T294&gt;1,"overpaid",T294=1,"median pay")</f>
        <v>underpaid</v>
      </c>
      <c r="V294" s="5"/>
    </row>
    <row r="295" spans="1:22" x14ac:dyDescent="0.3">
      <c r="A295" s="22" t="s">
        <v>306</v>
      </c>
      <c r="B295" s="12" t="s">
        <v>1305</v>
      </c>
      <c r="C295" s="12" t="s">
        <v>2012</v>
      </c>
      <c r="D295" s="13">
        <v>45657</v>
      </c>
      <c r="E295" s="14">
        <f t="shared" si="40"/>
        <v>534408</v>
      </c>
      <c r="F295" s="12">
        <v>37742</v>
      </c>
      <c r="G295" s="12">
        <v>6792</v>
      </c>
      <c r="H295" s="15">
        <f t="shared" si="41"/>
        <v>18871</v>
      </c>
      <c r="I295" s="15">
        <f t="shared" si="42"/>
        <v>7548.4000000000005</v>
      </c>
      <c r="J295" s="15">
        <f t="shared" si="43"/>
        <v>11322.599999999999</v>
      </c>
      <c r="K295" s="15">
        <f t="shared" si="44"/>
        <v>2264.52</v>
      </c>
      <c r="L295" s="12">
        <v>200</v>
      </c>
      <c r="M295" s="12">
        <f t="shared" si="45"/>
        <v>208</v>
      </c>
      <c r="N295" s="15">
        <v>4</v>
      </c>
      <c r="O295" s="15">
        <f t="shared" si="46"/>
        <v>90.725961538461533</v>
      </c>
      <c r="P295" s="15">
        <f t="shared" si="47"/>
        <v>181.45192307692307</v>
      </c>
      <c r="Q295" s="15">
        <f t="shared" si="48"/>
        <v>725.80769230769226</v>
      </c>
      <c r="R295" s="12">
        <v>42699</v>
      </c>
      <c r="S295" s="15">
        <f t="shared" si="49"/>
        <v>49491</v>
      </c>
      <c r="T295" s="20">
        <f>S295/median_percentile!$B$1</f>
        <v>0.98199351171165805</v>
      </c>
      <c r="U295" s="24" t="str" cm="1">
        <f t="array" ref="U295">_xlfn.IFS(T295&lt;1,"underpaid",T295&gt;1,"overpaid",T295=1,"median pay")</f>
        <v>underpaid</v>
      </c>
      <c r="V295" s="5"/>
    </row>
    <row r="296" spans="1:22" x14ac:dyDescent="0.3">
      <c r="A296" s="21" t="s">
        <v>307</v>
      </c>
      <c r="B296" s="8" t="s">
        <v>1306</v>
      </c>
      <c r="C296" s="8" t="s">
        <v>2011</v>
      </c>
      <c r="D296" s="9">
        <v>44872</v>
      </c>
      <c r="E296" s="10">
        <f t="shared" si="40"/>
        <v>526212</v>
      </c>
      <c r="F296" s="8">
        <v>36804</v>
      </c>
      <c r="G296" s="8">
        <v>7047</v>
      </c>
      <c r="H296" s="11">
        <f t="shared" si="41"/>
        <v>18402</v>
      </c>
      <c r="I296" s="11">
        <f t="shared" si="42"/>
        <v>7360.8</v>
      </c>
      <c r="J296" s="11">
        <f t="shared" si="43"/>
        <v>11041.2</v>
      </c>
      <c r="K296" s="11">
        <f t="shared" si="44"/>
        <v>2208.2399999999998</v>
      </c>
      <c r="L296" s="8">
        <v>200</v>
      </c>
      <c r="M296" s="8">
        <f t="shared" si="45"/>
        <v>208</v>
      </c>
      <c r="N296" s="11">
        <v>3</v>
      </c>
      <c r="O296" s="11">
        <f t="shared" si="46"/>
        <v>88.47115384615384</v>
      </c>
      <c r="P296" s="11">
        <f t="shared" si="47"/>
        <v>176.94230769230768</v>
      </c>
      <c r="Q296" s="11">
        <f t="shared" si="48"/>
        <v>530.82692307692309</v>
      </c>
      <c r="R296" s="8">
        <v>41443</v>
      </c>
      <c r="S296" s="11">
        <f t="shared" si="49"/>
        <v>48490</v>
      </c>
      <c r="T296" s="20">
        <f>S296/median_percentile!$B$1</f>
        <v>0.96213180947845667</v>
      </c>
      <c r="U296" s="24" t="str" cm="1">
        <f t="array" ref="U296">_xlfn.IFS(T296&lt;1,"underpaid",T296&gt;1,"overpaid",T296=1,"median pay")</f>
        <v>underpaid</v>
      </c>
      <c r="V296" s="5"/>
    </row>
    <row r="297" spans="1:22" x14ac:dyDescent="0.3">
      <c r="A297" s="22" t="s">
        <v>308</v>
      </c>
      <c r="B297" s="12" t="s">
        <v>1307</v>
      </c>
      <c r="C297" s="12" t="s">
        <v>2016</v>
      </c>
      <c r="D297" s="13">
        <v>45249</v>
      </c>
      <c r="E297" s="14">
        <f t="shared" si="40"/>
        <v>401436</v>
      </c>
      <c r="F297" s="12">
        <v>28079</v>
      </c>
      <c r="G297" s="12">
        <v>5374</v>
      </c>
      <c r="H297" s="15">
        <f t="shared" si="41"/>
        <v>14039.5</v>
      </c>
      <c r="I297" s="15">
        <f t="shared" si="42"/>
        <v>5615.8</v>
      </c>
      <c r="J297" s="15">
        <f t="shared" si="43"/>
        <v>8423.7000000000007</v>
      </c>
      <c r="K297" s="15">
        <f t="shared" si="44"/>
        <v>1684.74</v>
      </c>
      <c r="L297" s="12">
        <v>200</v>
      </c>
      <c r="M297" s="12">
        <f t="shared" si="45"/>
        <v>208</v>
      </c>
      <c r="N297" s="15">
        <v>4</v>
      </c>
      <c r="O297" s="15">
        <f t="shared" si="46"/>
        <v>67.49759615384616</v>
      </c>
      <c r="P297" s="15">
        <f t="shared" si="47"/>
        <v>134.99519230769232</v>
      </c>
      <c r="Q297" s="15">
        <f t="shared" si="48"/>
        <v>539.98076923076928</v>
      </c>
      <c r="R297" s="12">
        <v>31569</v>
      </c>
      <c r="S297" s="15">
        <f t="shared" si="49"/>
        <v>36943</v>
      </c>
      <c r="T297" s="20">
        <f>S297/median_percentile!$B$1</f>
        <v>0.73301784775340539</v>
      </c>
      <c r="U297" s="24" t="str" cm="1">
        <f t="array" ref="U297">_xlfn.IFS(T297&lt;1,"underpaid",T297&gt;1,"overpaid",T297=1,"median pay")</f>
        <v>underpaid</v>
      </c>
      <c r="V297" s="5"/>
    </row>
    <row r="298" spans="1:22" x14ac:dyDescent="0.3">
      <c r="A298" s="21" t="s">
        <v>309</v>
      </c>
      <c r="B298" s="8" t="s">
        <v>1308</v>
      </c>
      <c r="C298" s="8" t="s">
        <v>2012</v>
      </c>
      <c r="D298" s="9">
        <v>45400</v>
      </c>
      <c r="E298" s="10">
        <f t="shared" si="40"/>
        <v>518796</v>
      </c>
      <c r="F298" s="8">
        <v>39181</v>
      </c>
      <c r="G298" s="8">
        <v>4052</v>
      </c>
      <c r="H298" s="11">
        <f t="shared" si="41"/>
        <v>19590.5</v>
      </c>
      <c r="I298" s="11">
        <f t="shared" si="42"/>
        <v>7836.2000000000007</v>
      </c>
      <c r="J298" s="11">
        <f t="shared" si="43"/>
        <v>11754.3</v>
      </c>
      <c r="K298" s="11">
        <f t="shared" si="44"/>
        <v>2350.86</v>
      </c>
      <c r="L298" s="8">
        <v>200</v>
      </c>
      <c r="M298" s="8">
        <f t="shared" si="45"/>
        <v>208</v>
      </c>
      <c r="N298" s="11">
        <v>2</v>
      </c>
      <c r="O298" s="11">
        <f t="shared" si="46"/>
        <v>94.18509615384616</v>
      </c>
      <c r="P298" s="11">
        <f t="shared" si="47"/>
        <v>188.37019230769232</v>
      </c>
      <c r="Q298" s="11">
        <f t="shared" si="48"/>
        <v>376.74038461538464</v>
      </c>
      <c r="R298" s="8">
        <v>41009</v>
      </c>
      <c r="S298" s="11">
        <f t="shared" si="49"/>
        <v>45061</v>
      </c>
      <c r="T298" s="20">
        <f>S298/median_percentile!$B$1</f>
        <v>0.89409407026002763</v>
      </c>
      <c r="U298" s="24" t="str" cm="1">
        <f t="array" ref="U298">_xlfn.IFS(T298&lt;1,"underpaid",T298&gt;1,"overpaid",T298=1,"median pay")</f>
        <v>underpaid</v>
      </c>
      <c r="V298" s="5"/>
    </row>
    <row r="299" spans="1:22" x14ac:dyDescent="0.3">
      <c r="A299" s="22" t="s">
        <v>310</v>
      </c>
      <c r="B299" s="12" t="s">
        <v>1309</v>
      </c>
      <c r="C299" s="12" t="s">
        <v>2012</v>
      </c>
      <c r="D299" s="13">
        <v>45663</v>
      </c>
      <c r="E299" s="14">
        <f t="shared" si="40"/>
        <v>526512</v>
      </c>
      <c r="F299" s="12">
        <v>37212</v>
      </c>
      <c r="G299" s="12">
        <v>6664</v>
      </c>
      <c r="H299" s="15">
        <f t="shared" si="41"/>
        <v>18606</v>
      </c>
      <c r="I299" s="15">
        <f t="shared" si="42"/>
        <v>7442.4000000000005</v>
      </c>
      <c r="J299" s="15">
        <f t="shared" si="43"/>
        <v>11163.599999999999</v>
      </c>
      <c r="K299" s="15">
        <f t="shared" si="44"/>
        <v>2232.7199999999998</v>
      </c>
      <c r="L299" s="12">
        <v>200</v>
      </c>
      <c r="M299" s="12">
        <f t="shared" si="45"/>
        <v>208</v>
      </c>
      <c r="N299" s="15">
        <v>3</v>
      </c>
      <c r="O299" s="15">
        <f t="shared" si="46"/>
        <v>89.45192307692308</v>
      </c>
      <c r="P299" s="15">
        <f t="shared" si="47"/>
        <v>178.90384615384616</v>
      </c>
      <c r="Q299" s="15">
        <f t="shared" si="48"/>
        <v>536.71153846153845</v>
      </c>
      <c r="R299" s="12">
        <v>42064</v>
      </c>
      <c r="S299" s="15">
        <f t="shared" si="49"/>
        <v>48728</v>
      </c>
      <c r="T299" s="20">
        <f>S299/median_percentile!$B$1</f>
        <v>0.96685417224718995</v>
      </c>
      <c r="U299" s="24" t="str" cm="1">
        <f t="array" ref="U299">_xlfn.IFS(T299&lt;1,"underpaid",T299&gt;1,"overpaid",T299=1,"median pay")</f>
        <v>underpaid</v>
      </c>
      <c r="V299" s="5"/>
    </row>
    <row r="300" spans="1:22" x14ac:dyDescent="0.3">
      <c r="A300" s="21" t="s">
        <v>311</v>
      </c>
      <c r="B300" s="8" t="s">
        <v>1310</v>
      </c>
      <c r="C300" s="8" t="s">
        <v>2014</v>
      </c>
      <c r="D300" s="9">
        <v>44986</v>
      </c>
      <c r="E300" s="10">
        <f t="shared" si="40"/>
        <v>803544</v>
      </c>
      <c r="F300" s="8">
        <v>58870</v>
      </c>
      <c r="G300" s="8">
        <v>8092</v>
      </c>
      <c r="H300" s="11">
        <f t="shared" si="41"/>
        <v>29435</v>
      </c>
      <c r="I300" s="11">
        <f t="shared" si="42"/>
        <v>11774</v>
      </c>
      <c r="J300" s="11">
        <f t="shared" si="43"/>
        <v>17661</v>
      </c>
      <c r="K300" s="11">
        <f t="shared" si="44"/>
        <v>3532.2</v>
      </c>
      <c r="L300" s="8">
        <v>200</v>
      </c>
      <c r="M300" s="8">
        <f t="shared" si="45"/>
        <v>208</v>
      </c>
      <c r="N300" s="11">
        <v>4</v>
      </c>
      <c r="O300" s="11">
        <f t="shared" si="46"/>
        <v>141.51442307692307</v>
      </c>
      <c r="P300" s="11">
        <f t="shared" si="47"/>
        <v>283.02884615384613</v>
      </c>
      <c r="Q300" s="11">
        <f t="shared" si="48"/>
        <v>1132.1153846153845</v>
      </c>
      <c r="R300" s="8">
        <v>64211</v>
      </c>
      <c r="S300" s="11">
        <f t="shared" si="49"/>
        <v>72303</v>
      </c>
      <c r="T300" s="20">
        <f>S300/median_percentile!$B$1</f>
        <v>1.4346260305366232</v>
      </c>
      <c r="U300" s="24" t="str" cm="1">
        <f t="array" ref="U300">_xlfn.IFS(T300&lt;1,"underpaid",T300&gt;1,"overpaid",T300=1,"median pay")</f>
        <v>overpaid</v>
      </c>
      <c r="V300" s="5"/>
    </row>
    <row r="301" spans="1:22" x14ac:dyDescent="0.3">
      <c r="A301" s="22" t="s">
        <v>312</v>
      </c>
      <c r="B301" s="12" t="s">
        <v>1311</v>
      </c>
      <c r="C301" s="12" t="s">
        <v>2016</v>
      </c>
      <c r="D301" s="13">
        <v>45548</v>
      </c>
      <c r="E301" s="14">
        <f t="shared" si="40"/>
        <v>381948</v>
      </c>
      <c r="F301" s="12">
        <v>26647</v>
      </c>
      <c r="G301" s="12">
        <v>5182</v>
      </c>
      <c r="H301" s="15">
        <f t="shared" si="41"/>
        <v>13323.5</v>
      </c>
      <c r="I301" s="15">
        <f t="shared" si="42"/>
        <v>5329.4000000000005</v>
      </c>
      <c r="J301" s="15">
        <f t="shared" si="43"/>
        <v>7994.0999999999985</v>
      </c>
      <c r="K301" s="15">
        <f t="shared" si="44"/>
        <v>1598.82</v>
      </c>
      <c r="L301" s="12">
        <v>200</v>
      </c>
      <c r="M301" s="12">
        <f t="shared" si="45"/>
        <v>208</v>
      </c>
      <c r="N301" s="15">
        <v>4</v>
      </c>
      <c r="O301" s="15">
        <f t="shared" si="46"/>
        <v>64.055288461538467</v>
      </c>
      <c r="P301" s="15">
        <f t="shared" si="47"/>
        <v>128.11057692307693</v>
      </c>
      <c r="Q301" s="15">
        <f t="shared" si="48"/>
        <v>512.44230769230774</v>
      </c>
      <c r="R301" s="12">
        <v>30253</v>
      </c>
      <c r="S301" s="15">
        <f t="shared" si="49"/>
        <v>35435</v>
      </c>
      <c r="T301" s="20">
        <f>S301/median_percentile!$B$1</f>
        <v>0.70309632231117991</v>
      </c>
      <c r="U301" s="24" t="str" cm="1">
        <f t="array" ref="U301">_xlfn.IFS(T301&lt;1,"underpaid",T301&gt;1,"overpaid",T301=1,"median pay")</f>
        <v>underpaid</v>
      </c>
      <c r="V301" s="5"/>
    </row>
    <row r="302" spans="1:22" x14ac:dyDescent="0.3">
      <c r="A302" s="21" t="s">
        <v>313</v>
      </c>
      <c r="B302" s="8" t="s">
        <v>1312</v>
      </c>
      <c r="C302" s="8" t="s">
        <v>2014</v>
      </c>
      <c r="D302" s="9">
        <v>44813</v>
      </c>
      <c r="E302" s="10">
        <f t="shared" si="40"/>
        <v>1018308</v>
      </c>
      <c r="F302" s="8">
        <v>73607</v>
      </c>
      <c r="G302" s="8">
        <v>11252</v>
      </c>
      <c r="H302" s="11">
        <f t="shared" si="41"/>
        <v>36803.5</v>
      </c>
      <c r="I302" s="11">
        <f t="shared" si="42"/>
        <v>14721.400000000001</v>
      </c>
      <c r="J302" s="11">
        <f t="shared" si="43"/>
        <v>22082.1</v>
      </c>
      <c r="K302" s="11">
        <f t="shared" si="44"/>
        <v>4416.42</v>
      </c>
      <c r="L302" s="8">
        <v>200</v>
      </c>
      <c r="M302" s="8">
        <f t="shared" si="45"/>
        <v>208</v>
      </c>
      <c r="N302" s="11">
        <v>4</v>
      </c>
      <c r="O302" s="11">
        <f t="shared" si="46"/>
        <v>176.93990384615384</v>
      </c>
      <c r="P302" s="11">
        <f t="shared" si="47"/>
        <v>353.87980769230768</v>
      </c>
      <c r="Q302" s="11">
        <f t="shared" si="48"/>
        <v>1415.5192307692307</v>
      </c>
      <c r="R302" s="8">
        <v>80243</v>
      </c>
      <c r="S302" s="11">
        <f t="shared" si="49"/>
        <v>91495</v>
      </c>
      <c r="T302" s="20">
        <f>S302/median_percentile!$B$1</f>
        <v>1.8154310148119488</v>
      </c>
      <c r="U302" s="24" t="str" cm="1">
        <f t="array" ref="U302">_xlfn.IFS(T302&lt;1,"underpaid",T302&gt;1,"overpaid",T302=1,"median pay")</f>
        <v>overpaid</v>
      </c>
      <c r="V302" s="5"/>
    </row>
    <row r="303" spans="1:22" x14ac:dyDescent="0.3">
      <c r="A303" s="22" t="s">
        <v>314</v>
      </c>
      <c r="B303" s="12" t="s">
        <v>1313</v>
      </c>
      <c r="C303" s="12" t="s">
        <v>2016</v>
      </c>
      <c r="D303" s="13">
        <v>43840</v>
      </c>
      <c r="E303" s="14">
        <f t="shared" si="40"/>
        <v>433788</v>
      </c>
      <c r="F303" s="12">
        <v>32432</v>
      </c>
      <c r="G303" s="12">
        <v>3717</v>
      </c>
      <c r="H303" s="15">
        <f t="shared" si="41"/>
        <v>16216</v>
      </c>
      <c r="I303" s="15">
        <f t="shared" si="42"/>
        <v>6486.4000000000005</v>
      </c>
      <c r="J303" s="15">
        <f t="shared" si="43"/>
        <v>9729.5999999999985</v>
      </c>
      <c r="K303" s="15">
        <f t="shared" si="44"/>
        <v>1945.9199999999998</v>
      </c>
      <c r="L303" s="12">
        <v>200</v>
      </c>
      <c r="M303" s="12">
        <f t="shared" si="45"/>
        <v>208</v>
      </c>
      <c r="N303" s="15">
        <v>0</v>
      </c>
      <c r="O303" s="15">
        <f t="shared" si="46"/>
        <v>77.961538461538467</v>
      </c>
      <c r="P303" s="15">
        <f t="shared" si="47"/>
        <v>155.92307692307693</v>
      </c>
      <c r="Q303" s="15">
        <f t="shared" si="48"/>
        <v>0</v>
      </c>
      <c r="R303" s="12">
        <v>34004</v>
      </c>
      <c r="S303" s="15">
        <f t="shared" si="49"/>
        <v>37721</v>
      </c>
      <c r="T303" s="20">
        <f>S303/median_percentile!$B$1</f>
        <v>0.74845481512346601</v>
      </c>
      <c r="U303" s="24" t="str" cm="1">
        <f t="array" ref="U303">_xlfn.IFS(T303&lt;1,"underpaid",T303&gt;1,"overpaid",T303=1,"median pay")</f>
        <v>underpaid</v>
      </c>
      <c r="V303" s="5"/>
    </row>
    <row r="304" spans="1:22" x14ac:dyDescent="0.3">
      <c r="A304" s="21" t="s">
        <v>315</v>
      </c>
      <c r="B304" s="8" t="s">
        <v>1314</v>
      </c>
      <c r="C304" s="8" t="s">
        <v>2012</v>
      </c>
      <c r="D304" s="9">
        <v>44608</v>
      </c>
      <c r="E304" s="10">
        <f t="shared" si="40"/>
        <v>382668</v>
      </c>
      <c r="F304" s="8">
        <v>28956</v>
      </c>
      <c r="G304" s="8">
        <v>2933</v>
      </c>
      <c r="H304" s="11">
        <f t="shared" si="41"/>
        <v>14478</v>
      </c>
      <c r="I304" s="11">
        <f t="shared" si="42"/>
        <v>5791.2000000000007</v>
      </c>
      <c r="J304" s="11">
        <f t="shared" si="43"/>
        <v>8686.7999999999993</v>
      </c>
      <c r="K304" s="11">
        <f t="shared" si="44"/>
        <v>1737.36</v>
      </c>
      <c r="L304" s="8">
        <v>200</v>
      </c>
      <c r="M304" s="8">
        <f t="shared" si="45"/>
        <v>208</v>
      </c>
      <c r="N304" s="11">
        <v>3</v>
      </c>
      <c r="O304" s="11">
        <f t="shared" si="46"/>
        <v>69.605769230769226</v>
      </c>
      <c r="P304" s="11">
        <f t="shared" si="47"/>
        <v>139.21153846153845</v>
      </c>
      <c r="Q304" s="11">
        <f t="shared" si="48"/>
        <v>417.63461538461536</v>
      </c>
      <c r="R304" s="8">
        <v>30193</v>
      </c>
      <c r="S304" s="11">
        <f t="shared" si="49"/>
        <v>33126</v>
      </c>
      <c r="T304" s="20">
        <f>S304/median_percentile!$B$1</f>
        <v>0.65728146671031873</v>
      </c>
      <c r="U304" s="24" t="str" cm="1">
        <f t="array" ref="U304">_xlfn.IFS(T304&lt;1,"underpaid",T304&gt;1,"overpaid",T304=1,"median pay")</f>
        <v>underpaid</v>
      </c>
      <c r="V304" s="5"/>
    </row>
    <row r="305" spans="1:22" x14ac:dyDescent="0.3">
      <c r="A305" s="22" t="s">
        <v>316</v>
      </c>
      <c r="B305" s="12" t="s">
        <v>1315</v>
      </c>
      <c r="C305" s="12" t="s">
        <v>2013</v>
      </c>
      <c r="D305" s="13">
        <v>45479</v>
      </c>
      <c r="E305" s="14">
        <f t="shared" si="40"/>
        <v>793788</v>
      </c>
      <c r="F305" s="12">
        <v>59361</v>
      </c>
      <c r="G305" s="12">
        <v>6788</v>
      </c>
      <c r="H305" s="15">
        <f t="shared" si="41"/>
        <v>29680.5</v>
      </c>
      <c r="I305" s="15">
        <f t="shared" si="42"/>
        <v>11872.2</v>
      </c>
      <c r="J305" s="15">
        <f t="shared" si="43"/>
        <v>17808.300000000003</v>
      </c>
      <c r="K305" s="15">
        <f t="shared" si="44"/>
        <v>3561.66</v>
      </c>
      <c r="L305" s="12">
        <v>200</v>
      </c>
      <c r="M305" s="12">
        <f t="shared" si="45"/>
        <v>208</v>
      </c>
      <c r="N305" s="15">
        <v>4</v>
      </c>
      <c r="O305" s="15">
        <f t="shared" si="46"/>
        <v>142.69471153846155</v>
      </c>
      <c r="P305" s="15">
        <f t="shared" si="47"/>
        <v>285.38942307692309</v>
      </c>
      <c r="Q305" s="15">
        <f t="shared" si="48"/>
        <v>1141.5576923076924</v>
      </c>
      <c r="R305" s="12">
        <v>62388</v>
      </c>
      <c r="S305" s="15">
        <f t="shared" si="49"/>
        <v>69176</v>
      </c>
      <c r="T305" s="20">
        <f>S305/median_percentile!$B$1</f>
        <v>1.3725805331507883</v>
      </c>
      <c r="U305" s="24" t="str" cm="1">
        <f t="array" ref="U305">_xlfn.IFS(T305&lt;1,"underpaid",T305&gt;1,"overpaid",T305=1,"median pay")</f>
        <v>overpaid</v>
      </c>
      <c r="V305" s="5"/>
    </row>
    <row r="306" spans="1:22" x14ac:dyDescent="0.3">
      <c r="A306" s="21" t="s">
        <v>317</v>
      </c>
      <c r="B306" s="8" t="s">
        <v>1316</v>
      </c>
      <c r="C306" s="8" t="s">
        <v>2016</v>
      </c>
      <c r="D306" s="9">
        <v>45194</v>
      </c>
      <c r="E306" s="10">
        <f t="shared" si="40"/>
        <v>611424</v>
      </c>
      <c r="F306" s="8">
        <v>44070</v>
      </c>
      <c r="G306" s="8">
        <v>6882</v>
      </c>
      <c r="H306" s="11">
        <f t="shared" si="41"/>
        <v>22035</v>
      </c>
      <c r="I306" s="11">
        <f t="shared" si="42"/>
        <v>8814</v>
      </c>
      <c r="J306" s="11">
        <f t="shared" si="43"/>
        <v>13221</v>
      </c>
      <c r="K306" s="11">
        <f t="shared" si="44"/>
        <v>2644.2</v>
      </c>
      <c r="L306" s="8">
        <v>200</v>
      </c>
      <c r="M306" s="8">
        <f t="shared" si="45"/>
        <v>208</v>
      </c>
      <c r="N306" s="11">
        <v>1</v>
      </c>
      <c r="O306" s="11">
        <f t="shared" si="46"/>
        <v>105.9375</v>
      </c>
      <c r="P306" s="11">
        <f t="shared" si="47"/>
        <v>211.875</v>
      </c>
      <c r="Q306" s="11">
        <f t="shared" si="48"/>
        <v>211.875</v>
      </c>
      <c r="R306" s="8">
        <v>48842</v>
      </c>
      <c r="S306" s="11">
        <f t="shared" si="49"/>
        <v>55724</v>
      </c>
      <c r="T306" s="20">
        <f>S306/median_percentile!$B$1</f>
        <v>1.1056678274154985</v>
      </c>
      <c r="U306" s="24" t="str" cm="1">
        <f t="array" ref="U306">_xlfn.IFS(T306&lt;1,"underpaid",T306&gt;1,"overpaid",T306=1,"median pay")</f>
        <v>overpaid</v>
      </c>
      <c r="V306" s="5"/>
    </row>
    <row r="307" spans="1:22" x14ac:dyDescent="0.3">
      <c r="A307" s="22" t="s">
        <v>318</v>
      </c>
      <c r="B307" s="12" t="s">
        <v>1317</v>
      </c>
      <c r="C307" s="12" t="s">
        <v>2015</v>
      </c>
      <c r="D307" s="13">
        <v>45607</v>
      </c>
      <c r="E307" s="14">
        <f t="shared" si="40"/>
        <v>672348</v>
      </c>
      <c r="F307" s="12">
        <v>48381</v>
      </c>
      <c r="G307" s="12">
        <v>7648</v>
      </c>
      <c r="H307" s="15">
        <f t="shared" si="41"/>
        <v>24190.5</v>
      </c>
      <c r="I307" s="15">
        <f t="shared" si="42"/>
        <v>9676.2000000000007</v>
      </c>
      <c r="J307" s="15">
        <f t="shared" si="43"/>
        <v>14514.300000000003</v>
      </c>
      <c r="K307" s="15">
        <f t="shared" si="44"/>
        <v>2902.8599999999997</v>
      </c>
      <c r="L307" s="12">
        <v>200</v>
      </c>
      <c r="M307" s="12">
        <f t="shared" si="45"/>
        <v>208</v>
      </c>
      <c r="N307" s="15">
        <v>2</v>
      </c>
      <c r="O307" s="15">
        <f t="shared" si="46"/>
        <v>116.30048076923077</v>
      </c>
      <c r="P307" s="15">
        <f t="shared" si="47"/>
        <v>232.60096153846155</v>
      </c>
      <c r="Q307" s="15">
        <f t="shared" si="48"/>
        <v>465.20192307692309</v>
      </c>
      <c r="R307" s="12">
        <v>53733</v>
      </c>
      <c r="S307" s="15">
        <f t="shared" si="49"/>
        <v>61381</v>
      </c>
      <c r="T307" s="20">
        <f>S307/median_percentile!$B$1</f>
        <v>1.2179132315445895</v>
      </c>
      <c r="U307" s="24" t="str" cm="1">
        <f t="array" ref="U307">_xlfn.IFS(T307&lt;1,"underpaid",T307&gt;1,"overpaid",T307=1,"median pay")</f>
        <v>overpaid</v>
      </c>
      <c r="V307" s="5"/>
    </row>
    <row r="308" spans="1:22" x14ac:dyDescent="0.3">
      <c r="A308" s="21" t="s">
        <v>319</v>
      </c>
      <c r="B308" s="8" t="s">
        <v>1318</v>
      </c>
      <c r="C308" s="8" t="s">
        <v>2014</v>
      </c>
      <c r="D308" s="9">
        <v>44335</v>
      </c>
      <c r="E308" s="10">
        <f t="shared" si="40"/>
        <v>1019712</v>
      </c>
      <c r="F308" s="8">
        <v>77054</v>
      </c>
      <c r="G308" s="8">
        <v>7922</v>
      </c>
      <c r="H308" s="11">
        <f t="shared" si="41"/>
        <v>38527</v>
      </c>
      <c r="I308" s="11">
        <f t="shared" si="42"/>
        <v>15410.800000000001</v>
      </c>
      <c r="J308" s="11">
        <f t="shared" si="43"/>
        <v>23116.199999999997</v>
      </c>
      <c r="K308" s="11">
        <f t="shared" si="44"/>
        <v>4623.24</v>
      </c>
      <c r="L308" s="8">
        <v>200</v>
      </c>
      <c r="M308" s="8">
        <f t="shared" si="45"/>
        <v>208</v>
      </c>
      <c r="N308" s="11">
        <v>1</v>
      </c>
      <c r="O308" s="11">
        <f t="shared" si="46"/>
        <v>185.22596153846155</v>
      </c>
      <c r="P308" s="11">
        <f t="shared" si="47"/>
        <v>370.45192307692309</v>
      </c>
      <c r="Q308" s="11">
        <f t="shared" si="48"/>
        <v>370.45192307692309</v>
      </c>
      <c r="R308" s="8">
        <v>81437</v>
      </c>
      <c r="S308" s="11">
        <f t="shared" si="49"/>
        <v>89359</v>
      </c>
      <c r="T308" s="20">
        <f>S308/median_percentile!$B$1</f>
        <v>1.7730488010555869</v>
      </c>
      <c r="U308" s="24" t="str" cm="1">
        <f t="array" ref="U308">_xlfn.IFS(T308&lt;1,"underpaid",T308&gt;1,"overpaid",T308=1,"median pay")</f>
        <v>overpaid</v>
      </c>
      <c r="V308" s="5"/>
    </row>
    <row r="309" spans="1:22" x14ac:dyDescent="0.3">
      <c r="A309" s="22" t="s">
        <v>320</v>
      </c>
      <c r="B309" s="12" t="s">
        <v>1319</v>
      </c>
      <c r="C309" s="12" t="s">
        <v>2016</v>
      </c>
      <c r="D309" s="13">
        <v>44545</v>
      </c>
      <c r="E309" s="14">
        <f t="shared" si="40"/>
        <v>411852</v>
      </c>
      <c r="F309" s="12">
        <v>29694</v>
      </c>
      <c r="G309" s="12">
        <v>4627</v>
      </c>
      <c r="H309" s="15">
        <f t="shared" si="41"/>
        <v>14847</v>
      </c>
      <c r="I309" s="15">
        <f t="shared" si="42"/>
        <v>5938.8</v>
      </c>
      <c r="J309" s="15">
        <f t="shared" si="43"/>
        <v>8908.2000000000007</v>
      </c>
      <c r="K309" s="15">
        <f t="shared" si="44"/>
        <v>1781.6399999999999</v>
      </c>
      <c r="L309" s="12">
        <v>200</v>
      </c>
      <c r="M309" s="12">
        <f t="shared" si="45"/>
        <v>208</v>
      </c>
      <c r="N309" s="15">
        <v>0</v>
      </c>
      <c r="O309" s="15">
        <f t="shared" si="46"/>
        <v>71.379807692307693</v>
      </c>
      <c r="P309" s="15">
        <f t="shared" si="47"/>
        <v>142.75961538461539</v>
      </c>
      <c r="Q309" s="15">
        <f t="shared" si="48"/>
        <v>0</v>
      </c>
      <c r="R309" s="12">
        <v>32587</v>
      </c>
      <c r="S309" s="15">
        <f t="shared" si="49"/>
        <v>37214</v>
      </c>
      <c r="T309" s="20">
        <f>S309/median_percentile!$B$1</f>
        <v>0.73839499191444191</v>
      </c>
      <c r="U309" s="24" t="str" cm="1">
        <f t="array" ref="U309">_xlfn.IFS(T309&lt;1,"underpaid",T309&gt;1,"overpaid",T309=1,"median pay")</f>
        <v>underpaid</v>
      </c>
      <c r="V309" s="5"/>
    </row>
    <row r="310" spans="1:22" x14ac:dyDescent="0.3">
      <c r="A310" s="21" t="s">
        <v>321</v>
      </c>
      <c r="B310" s="8" t="s">
        <v>1320</v>
      </c>
      <c r="C310" s="8" t="s">
        <v>2012</v>
      </c>
      <c r="D310" s="9">
        <v>44750</v>
      </c>
      <c r="E310" s="10">
        <f t="shared" si="40"/>
        <v>391212</v>
      </c>
      <c r="F310" s="8">
        <v>28780</v>
      </c>
      <c r="G310" s="8">
        <v>3821</v>
      </c>
      <c r="H310" s="11">
        <f t="shared" si="41"/>
        <v>14390</v>
      </c>
      <c r="I310" s="11">
        <f t="shared" si="42"/>
        <v>5756</v>
      </c>
      <c r="J310" s="11">
        <f t="shared" si="43"/>
        <v>8634</v>
      </c>
      <c r="K310" s="11">
        <f t="shared" si="44"/>
        <v>1726.8</v>
      </c>
      <c r="L310" s="8">
        <v>200</v>
      </c>
      <c r="M310" s="8">
        <f t="shared" si="45"/>
        <v>208</v>
      </c>
      <c r="N310" s="11">
        <v>5</v>
      </c>
      <c r="O310" s="11">
        <f t="shared" si="46"/>
        <v>69.182692307692307</v>
      </c>
      <c r="P310" s="11">
        <f t="shared" si="47"/>
        <v>138.36538461538461</v>
      </c>
      <c r="Q310" s="11">
        <f t="shared" si="48"/>
        <v>691.82692307692309</v>
      </c>
      <c r="R310" s="8">
        <v>31154</v>
      </c>
      <c r="S310" s="11">
        <f t="shared" si="49"/>
        <v>34975</v>
      </c>
      <c r="T310" s="20">
        <f>S310/median_percentile!$B$1</f>
        <v>0.69396906653967871</v>
      </c>
      <c r="U310" s="24" t="str" cm="1">
        <f t="array" ref="U310">_xlfn.IFS(T310&lt;1,"underpaid",T310&gt;1,"overpaid",T310=1,"median pay")</f>
        <v>underpaid</v>
      </c>
      <c r="V310" s="5"/>
    </row>
    <row r="311" spans="1:22" x14ac:dyDescent="0.3">
      <c r="A311" s="22" t="s">
        <v>322</v>
      </c>
      <c r="B311" s="12" t="s">
        <v>1321</v>
      </c>
      <c r="C311" s="12" t="s">
        <v>2012</v>
      </c>
      <c r="D311" s="13">
        <v>44423</v>
      </c>
      <c r="E311" s="14">
        <f t="shared" si="40"/>
        <v>562800</v>
      </c>
      <c r="F311" s="12">
        <v>41161</v>
      </c>
      <c r="G311" s="12">
        <v>5739</v>
      </c>
      <c r="H311" s="15">
        <f t="shared" si="41"/>
        <v>20580.5</v>
      </c>
      <c r="I311" s="15">
        <f t="shared" si="42"/>
        <v>8232.2000000000007</v>
      </c>
      <c r="J311" s="15">
        <f t="shared" si="43"/>
        <v>12348.3</v>
      </c>
      <c r="K311" s="15">
        <f t="shared" si="44"/>
        <v>2469.66</v>
      </c>
      <c r="L311" s="12">
        <v>200</v>
      </c>
      <c r="M311" s="12">
        <f t="shared" si="45"/>
        <v>208</v>
      </c>
      <c r="N311" s="15">
        <v>0</v>
      </c>
      <c r="O311" s="15">
        <f t="shared" si="46"/>
        <v>98.944711538461533</v>
      </c>
      <c r="P311" s="15">
        <f t="shared" si="47"/>
        <v>197.88942307692307</v>
      </c>
      <c r="Q311" s="15">
        <f t="shared" si="48"/>
        <v>0</v>
      </c>
      <c r="R311" s="12">
        <v>44231</v>
      </c>
      <c r="S311" s="15">
        <f t="shared" si="49"/>
        <v>49970</v>
      </c>
      <c r="T311" s="20">
        <f>S311/median_percentile!$B$1</f>
        <v>0.99149776283024293</v>
      </c>
      <c r="U311" s="24" t="str" cm="1">
        <f t="array" ref="U311">_xlfn.IFS(T311&lt;1,"underpaid",T311&gt;1,"overpaid",T311=1,"median pay")</f>
        <v>underpaid</v>
      </c>
      <c r="V311" s="5"/>
    </row>
    <row r="312" spans="1:22" x14ac:dyDescent="0.3">
      <c r="A312" s="21" t="s">
        <v>323</v>
      </c>
      <c r="B312" s="8" t="s">
        <v>1322</v>
      </c>
      <c r="C312" s="8" t="s">
        <v>2012</v>
      </c>
      <c r="D312" s="9">
        <v>45037</v>
      </c>
      <c r="E312" s="10">
        <f t="shared" si="40"/>
        <v>464544</v>
      </c>
      <c r="F312" s="8">
        <v>32650</v>
      </c>
      <c r="G312" s="8">
        <v>6062</v>
      </c>
      <c r="H312" s="11">
        <f t="shared" si="41"/>
        <v>16325</v>
      </c>
      <c r="I312" s="11">
        <f t="shared" si="42"/>
        <v>6530</v>
      </c>
      <c r="J312" s="11">
        <f t="shared" si="43"/>
        <v>9795</v>
      </c>
      <c r="K312" s="11">
        <f t="shared" si="44"/>
        <v>1959</v>
      </c>
      <c r="L312" s="8">
        <v>200</v>
      </c>
      <c r="M312" s="8">
        <f t="shared" si="45"/>
        <v>208</v>
      </c>
      <c r="N312" s="11">
        <v>3</v>
      </c>
      <c r="O312" s="11">
        <f t="shared" si="46"/>
        <v>78.48557692307692</v>
      </c>
      <c r="P312" s="11">
        <f t="shared" si="47"/>
        <v>156.97115384615384</v>
      </c>
      <c r="Q312" s="11">
        <f t="shared" si="48"/>
        <v>470.91346153846155</v>
      </c>
      <c r="R312" s="8">
        <v>36825</v>
      </c>
      <c r="S312" s="11">
        <f t="shared" si="49"/>
        <v>42887</v>
      </c>
      <c r="T312" s="20">
        <f>S312/median_percentile!$B$1</f>
        <v>0.85095786580949828</v>
      </c>
      <c r="U312" s="24" t="str" cm="1">
        <f t="array" ref="U312">_xlfn.IFS(T312&lt;1,"underpaid",T312&gt;1,"overpaid",T312=1,"median pay")</f>
        <v>underpaid</v>
      </c>
      <c r="V312" s="5"/>
    </row>
    <row r="313" spans="1:22" x14ac:dyDescent="0.3">
      <c r="A313" s="22" t="s">
        <v>324</v>
      </c>
      <c r="B313" s="12" t="s">
        <v>1323</v>
      </c>
      <c r="C313" s="12" t="s">
        <v>2016</v>
      </c>
      <c r="D313" s="13">
        <v>45582</v>
      </c>
      <c r="E313" s="14">
        <f t="shared" si="40"/>
        <v>489000</v>
      </c>
      <c r="F313" s="12">
        <v>35954</v>
      </c>
      <c r="G313" s="12">
        <v>4796</v>
      </c>
      <c r="H313" s="15">
        <f t="shared" si="41"/>
        <v>17977</v>
      </c>
      <c r="I313" s="15">
        <f t="shared" si="42"/>
        <v>7190.8</v>
      </c>
      <c r="J313" s="15">
        <f t="shared" si="43"/>
        <v>10786.2</v>
      </c>
      <c r="K313" s="15">
        <f t="shared" si="44"/>
        <v>2157.2399999999998</v>
      </c>
      <c r="L313" s="12">
        <v>200</v>
      </c>
      <c r="M313" s="12">
        <f t="shared" si="45"/>
        <v>208</v>
      </c>
      <c r="N313" s="15">
        <v>5</v>
      </c>
      <c r="O313" s="15">
        <f t="shared" si="46"/>
        <v>86.427884615384613</v>
      </c>
      <c r="P313" s="15">
        <f t="shared" si="47"/>
        <v>172.85576923076923</v>
      </c>
      <c r="Q313" s="15">
        <f t="shared" si="48"/>
        <v>864.27884615384619</v>
      </c>
      <c r="R313" s="12">
        <v>38992</v>
      </c>
      <c r="S313" s="15">
        <f t="shared" si="49"/>
        <v>43788</v>
      </c>
      <c r="T313" s="20">
        <f>S313/median_percentile!$B$1</f>
        <v>0.86883538200541688</v>
      </c>
      <c r="U313" s="24" t="str" cm="1">
        <f t="array" ref="U313">_xlfn.IFS(T313&lt;1,"underpaid",T313&gt;1,"overpaid",T313=1,"median pay")</f>
        <v>underpaid</v>
      </c>
      <c r="V313" s="5"/>
    </row>
    <row r="314" spans="1:22" x14ac:dyDescent="0.3">
      <c r="A314" s="21" t="s">
        <v>325</v>
      </c>
      <c r="B314" s="8" t="s">
        <v>1324</v>
      </c>
      <c r="C314" s="8" t="s">
        <v>2016</v>
      </c>
      <c r="D314" s="9">
        <v>43813</v>
      </c>
      <c r="E314" s="10">
        <f t="shared" si="40"/>
        <v>355776</v>
      </c>
      <c r="F314" s="8">
        <v>25486</v>
      </c>
      <c r="G314" s="8">
        <v>4162</v>
      </c>
      <c r="H314" s="11">
        <f t="shared" si="41"/>
        <v>12743</v>
      </c>
      <c r="I314" s="11">
        <f t="shared" si="42"/>
        <v>5097.2000000000007</v>
      </c>
      <c r="J314" s="11">
        <f t="shared" si="43"/>
        <v>7645.7999999999993</v>
      </c>
      <c r="K314" s="11">
        <f t="shared" si="44"/>
        <v>1529.1599999999999</v>
      </c>
      <c r="L314" s="8">
        <v>200</v>
      </c>
      <c r="M314" s="8">
        <f t="shared" si="45"/>
        <v>208</v>
      </c>
      <c r="N314" s="11">
        <v>1</v>
      </c>
      <c r="O314" s="11">
        <f t="shared" si="46"/>
        <v>61.26442307692308</v>
      </c>
      <c r="P314" s="11">
        <f t="shared" si="47"/>
        <v>122.52884615384616</v>
      </c>
      <c r="Q314" s="11">
        <f t="shared" si="48"/>
        <v>122.52884615384616</v>
      </c>
      <c r="R314" s="8">
        <v>28343</v>
      </c>
      <c r="S314" s="11">
        <f t="shared" si="49"/>
        <v>32505</v>
      </c>
      <c r="T314" s="20">
        <f>S314/median_percentile!$B$1</f>
        <v>0.64495967141879218</v>
      </c>
      <c r="U314" s="24" t="str" cm="1">
        <f t="array" ref="U314">_xlfn.IFS(T314&lt;1,"underpaid",T314&gt;1,"overpaid",T314=1,"median pay")</f>
        <v>underpaid</v>
      </c>
      <c r="V314" s="5"/>
    </row>
    <row r="315" spans="1:22" x14ac:dyDescent="0.3">
      <c r="A315" s="22" t="s">
        <v>326</v>
      </c>
      <c r="B315" s="12" t="s">
        <v>1325</v>
      </c>
      <c r="C315" s="12" t="s">
        <v>2013</v>
      </c>
      <c r="D315" s="13">
        <v>44508</v>
      </c>
      <c r="E315" s="14">
        <f t="shared" si="40"/>
        <v>792768</v>
      </c>
      <c r="F315" s="12">
        <v>58804</v>
      </c>
      <c r="G315" s="12">
        <v>7260</v>
      </c>
      <c r="H315" s="15">
        <f t="shared" si="41"/>
        <v>29402</v>
      </c>
      <c r="I315" s="15">
        <f t="shared" si="42"/>
        <v>11760.800000000001</v>
      </c>
      <c r="J315" s="15">
        <f t="shared" si="43"/>
        <v>17641.199999999997</v>
      </c>
      <c r="K315" s="15">
        <f t="shared" si="44"/>
        <v>3528.24</v>
      </c>
      <c r="L315" s="12">
        <v>200</v>
      </c>
      <c r="M315" s="12">
        <f t="shared" si="45"/>
        <v>208</v>
      </c>
      <c r="N315" s="15">
        <v>3</v>
      </c>
      <c r="O315" s="15">
        <f t="shared" si="46"/>
        <v>141.35576923076923</v>
      </c>
      <c r="P315" s="15">
        <f t="shared" si="47"/>
        <v>282.71153846153845</v>
      </c>
      <c r="Q315" s="15">
        <f t="shared" si="48"/>
        <v>848.13461538461536</v>
      </c>
      <c r="R315" s="12">
        <v>62336</v>
      </c>
      <c r="S315" s="15">
        <f t="shared" si="49"/>
        <v>69596</v>
      </c>
      <c r="T315" s="20">
        <f>S315/median_percentile!$B$1</f>
        <v>1.3809141145073762</v>
      </c>
      <c r="U315" s="24" t="str" cm="1">
        <f t="array" ref="U315">_xlfn.IFS(T315&lt;1,"underpaid",T315&gt;1,"overpaid",T315=1,"median pay")</f>
        <v>overpaid</v>
      </c>
      <c r="V315" s="5"/>
    </row>
    <row r="316" spans="1:22" x14ac:dyDescent="0.3">
      <c r="A316" s="21" t="s">
        <v>327</v>
      </c>
      <c r="B316" s="8" t="s">
        <v>1326</v>
      </c>
      <c r="C316" s="8" t="s">
        <v>2015</v>
      </c>
      <c r="D316" s="9">
        <v>44850</v>
      </c>
      <c r="E316" s="10">
        <f t="shared" si="40"/>
        <v>666060</v>
      </c>
      <c r="F316" s="8">
        <v>49338</v>
      </c>
      <c r="G316" s="8">
        <v>6167</v>
      </c>
      <c r="H316" s="11">
        <f t="shared" si="41"/>
        <v>24669</v>
      </c>
      <c r="I316" s="11">
        <f t="shared" si="42"/>
        <v>9867.6</v>
      </c>
      <c r="J316" s="11">
        <f t="shared" si="43"/>
        <v>14801.400000000001</v>
      </c>
      <c r="K316" s="11">
        <f t="shared" si="44"/>
        <v>2960.2799999999997</v>
      </c>
      <c r="L316" s="8">
        <v>200</v>
      </c>
      <c r="M316" s="8">
        <f t="shared" si="45"/>
        <v>208</v>
      </c>
      <c r="N316" s="11">
        <v>0</v>
      </c>
      <c r="O316" s="11">
        <f t="shared" si="46"/>
        <v>118.60096153846153</v>
      </c>
      <c r="P316" s="11">
        <f t="shared" si="47"/>
        <v>237.20192307692307</v>
      </c>
      <c r="Q316" s="11">
        <f t="shared" si="48"/>
        <v>0</v>
      </c>
      <c r="R316" s="8">
        <v>52345</v>
      </c>
      <c r="S316" s="11">
        <f t="shared" si="49"/>
        <v>58512</v>
      </c>
      <c r="T316" s="20">
        <f>S316/median_percentile!$B$1</f>
        <v>1.1609869341349446</v>
      </c>
      <c r="U316" s="24" t="str" cm="1">
        <f t="array" ref="U316">_xlfn.IFS(T316&lt;1,"underpaid",T316&gt;1,"overpaid",T316=1,"median pay")</f>
        <v>overpaid</v>
      </c>
      <c r="V316" s="5"/>
    </row>
    <row r="317" spans="1:22" x14ac:dyDescent="0.3">
      <c r="A317" s="22" t="s">
        <v>328</v>
      </c>
      <c r="B317" s="12" t="s">
        <v>1327</v>
      </c>
      <c r="C317" s="12" t="s">
        <v>2011</v>
      </c>
      <c r="D317" s="13">
        <v>44906</v>
      </c>
      <c r="E317" s="14">
        <f t="shared" si="40"/>
        <v>536976</v>
      </c>
      <c r="F317" s="12">
        <v>38048</v>
      </c>
      <c r="G317" s="12">
        <v>6700</v>
      </c>
      <c r="H317" s="15">
        <f t="shared" si="41"/>
        <v>19024</v>
      </c>
      <c r="I317" s="15">
        <f t="shared" si="42"/>
        <v>7609.6</v>
      </c>
      <c r="J317" s="15">
        <f t="shared" si="43"/>
        <v>11414.400000000001</v>
      </c>
      <c r="K317" s="15">
        <f t="shared" si="44"/>
        <v>2282.88</v>
      </c>
      <c r="L317" s="12">
        <v>200</v>
      </c>
      <c r="M317" s="12">
        <f t="shared" si="45"/>
        <v>208</v>
      </c>
      <c r="N317" s="15">
        <v>0</v>
      </c>
      <c r="O317" s="15">
        <f t="shared" si="46"/>
        <v>91.461538461538467</v>
      </c>
      <c r="P317" s="15">
        <f t="shared" si="47"/>
        <v>182.92307692307693</v>
      </c>
      <c r="Q317" s="15">
        <f t="shared" si="48"/>
        <v>0</v>
      </c>
      <c r="R317" s="12">
        <v>42266</v>
      </c>
      <c r="S317" s="15">
        <f t="shared" si="49"/>
        <v>48966</v>
      </c>
      <c r="T317" s="20">
        <f>S317/median_percentile!$B$1</f>
        <v>0.97157653501592312</v>
      </c>
      <c r="U317" s="24" t="str" cm="1">
        <f t="array" ref="U317">_xlfn.IFS(T317&lt;1,"underpaid",T317&gt;1,"overpaid",T317=1,"median pay")</f>
        <v>underpaid</v>
      </c>
      <c r="V317" s="5"/>
    </row>
    <row r="318" spans="1:22" x14ac:dyDescent="0.3">
      <c r="A318" s="21" t="s">
        <v>329</v>
      </c>
      <c r="B318" s="8" t="s">
        <v>1328</v>
      </c>
      <c r="C318" s="8" t="s">
        <v>2012</v>
      </c>
      <c r="D318" s="9">
        <v>45506</v>
      </c>
      <c r="E318" s="10">
        <f t="shared" si="40"/>
        <v>632112</v>
      </c>
      <c r="F318" s="8">
        <v>46992</v>
      </c>
      <c r="G318" s="8">
        <v>5684</v>
      </c>
      <c r="H318" s="11">
        <f t="shared" si="41"/>
        <v>23496</v>
      </c>
      <c r="I318" s="11">
        <f t="shared" si="42"/>
        <v>9398.4</v>
      </c>
      <c r="J318" s="11">
        <f t="shared" si="43"/>
        <v>14097.599999999999</v>
      </c>
      <c r="K318" s="11">
        <f t="shared" si="44"/>
        <v>2819.52</v>
      </c>
      <c r="L318" s="8">
        <v>200</v>
      </c>
      <c r="M318" s="8">
        <f t="shared" si="45"/>
        <v>208</v>
      </c>
      <c r="N318" s="11">
        <v>3</v>
      </c>
      <c r="O318" s="11">
        <f t="shared" si="46"/>
        <v>112.96153846153847</v>
      </c>
      <c r="P318" s="11">
        <f t="shared" si="47"/>
        <v>225.92307692307693</v>
      </c>
      <c r="Q318" s="11">
        <f t="shared" si="48"/>
        <v>677.76923076923083</v>
      </c>
      <c r="R318" s="8">
        <v>50048</v>
      </c>
      <c r="S318" s="11">
        <f t="shared" si="49"/>
        <v>55732</v>
      </c>
      <c r="T318" s="20">
        <f>S318/median_percentile!$B$1</f>
        <v>1.1058265622984811</v>
      </c>
      <c r="U318" s="24" t="str" cm="1">
        <f t="array" ref="U318">_xlfn.IFS(T318&lt;1,"underpaid",T318&gt;1,"overpaid",T318=1,"median pay")</f>
        <v>overpaid</v>
      </c>
      <c r="V318" s="5"/>
    </row>
    <row r="319" spans="1:22" x14ac:dyDescent="0.3">
      <c r="A319" s="22" t="s">
        <v>330</v>
      </c>
      <c r="B319" s="12" t="s">
        <v>1329</v>
      </c>
      <c r="C319" s="12" t="s">
        <v>2014</v>
      </c>
      <c r="D319" s="13">
        <v>45236</v>
      </c>
      <c r="E319" s="14">
        <f t="shared" si="40"/>
        <v>558240</v>
      </c>
      <c r="F319" s="12">
        <v>42245</v>
      </c>
      <c r="G319" s="12">
        <v>4275</v>
      </c>
      <c r="H319" s="15">
        <f t="shared" si="41"/>
        <v>21122.5</v>
      </c>
      <c r="I319" s="15">
        <f t="shared" si="42"/>
        <v>8449</v>
      </c>
      <c r="J319" s="15">
        <f t="shared" si="43"/>
        <v>12673.5</v>
      </c>
      <c r="K319" s="15">
        <f t="shared" si="44"/>
        <v>2534.6999999999998</v>
      </c>
      <c r="L319" s="12">
        <v>200</v>
      </c>
      <c r="M319" s="12">
        <f t="shared" si="45"/>
        <v>208</v>
      </c>
      <c r="N319" s="15">
        <v>0</v>
      </c>
      <c r="O319" s="15">
        <f t="shared" si="46"/>
        <v>101.55048076923077</v>
      </c>
      <c r="P319" s="15">
        <f t="shared" si="47"/>
        <v>203.10096153846155</v>
      </c>
      <c r="Q319" s="15">
        <f t="shared" si="48"/>
        <v>0</v>
      </c>
      <c r="R319" s="12">
        <v>44138</v>
      </c>
      <c r="S319" s="15">
        <f t="shared" si="49"/>
        <v>48413</v>
      </c>
      <c r="T319" s="20">
        <f>S319/median_percentile!$B$1</f>
        <v>0.96060398622974885</v>
      </c>
      <c r="U319" s="24" t="str" cm="1">
        <f t="array" ref="U319">_xlfn.IFS(T319&lt;1,"underpaid",T319&gt;1,"overpaid",T319=1,"median pay")</f>
        <v>underpaid</v>
      </c>
      <c r="V319" s="5"/>
    </row>
    <row r="320" spans="1:22" x14ac:dyDescent="0.3">
      <c r="A320" s="21" t="s">
        <v>331</v>
      </c>
      <c r="B320" s="8" t="s">
        <v>1330</v>
      </c>
      <c r="C320" s="8" t="s">
        <v>2015</v>
      </c>
      <c r="D320" s="9">
        <v>43694</v>
      </c>
      <c r="E320" s="10">
        <f t="shared" si="40"/>
        <v>624672</v>
      </c>
      <c r="F320" s="8">
        <v>47054</v>
      </c>
      <c r="G320" s="8">
        <v>5002</v>
      </c>
      <c r="H320" s="11">
        <f t="shared" si="41"/>
        <v>23527</v>
      </c>
      <c r="I320" s="11">
        <f t="shared" si="42"/>
        <v>9410.8000000000011</v>
      </c>
      <c r="J320" s="11">
        <f t="shared" si="43"/>
        <v>14116.199999999997</v>
      </c>
      <c r="K320" s="11">
        <f t="shared" si="44"/>
        <v>2823.24</v>
      </c>
      <c r="L320" s="8">
        <v>200</v>
      </c>
      <c r="M320" s="8">
        <f t="shared" si="45"/>
        <v>208</v>
      </c>
      <c r="N320" s="11">
        <v>4</v>
      </c>
      <c r="O320" s="11">
        <f t="shared" si="46"/>
        <v>113.11057692307692</v>
      </c>
      <c r="P320" s="11">
        <f t="shared" si="47"/>
        <v>226.22115384615384</v>
      </c>
      <c r="Q320" s="11">
        <f t="shared" si="48"/>
        <v>904.88461538461536</v>
      </c>
      <c r="R320" s="8">
        <v>49033</v>
      </c>
      <c r="S320" s="11">
        <f t="shared" si="49"/>
        <v>54035</v>
      </c>
      <c r="T320" s="20">
        <f>S320/median_percentile!$B$1</f>
        <v>1.0721549252457911</v>
      </c>
      <c r="U320" s="24" t="str" cm="1">
        <f t="array" ref="U320">_xlfn.IFS(T320&lt;1,"underpaid",T320&gt;1,"overpaid",T320=1,"median pay")</f>
        <v>overpaid</v>
      </c>
      <c r="V320" s="5"/>
    </row>
    <row r="321" spans="1:22" x14ac:dyDescent="0.3">
      <c r="A321" s="22" t="s">
        <v>332</v>
      </c>
      <c r="B321" s="12" t="s">
        <v>1331</v>
      </c>
      <c r="C321" s="12" t="s">
        <v>2012</v>
      </c>
      <c r="D321" s="13">
        <v>44995</v>
      </c>
      <c r="E321" s="14">
        <f t="shared" si="40"/>
        <v>465504</v>
      </c>
      <c r="F321" s="12">
        <v>32536</v>
      </c>
      <c r="G321" s="12">
        <v>6256</v>
      </c>
      <c r="H321" s="15">
        <f t="shared" si="41"/>
        <v>16268</v>
      </c>
      <c r="I321" s="15">
        <f t="shared" si="42"/>
        <v>6507.2000000000007</v>
      </c>
      <c r="J321" s="15">
        <f t="shared" si="43"/>
        <v>9760.7999999999993</v>
      </c>
      <c r="K321" s="15">
        <f t="shared" si="44"/>
        <v>1952.1599999999999</v>
      </c>
      <c r="L321" s="12">
        <v>200</v>
      </c>
      <c r="M321" s="12">
        <f t="shared" si="45"/>
        <v>208</v>
      </c>
      <c r="N321" s="15">
        <v>0</v>
      </c>
      <c r="O321" s="15">
        <f t="shared" si="46"/>
        <v>78.211538461538467</v>
      </c>
      <c r="P321" s="15">
        <f t="shared" si="47"/>
        <v>156.42307692307693</v>
      </c>
      <c r="Q321" s="15">
        <f t="shared" si="48"/>
        <v>0</v>
      </c>
      <c r="R321" s="12">
        <v>36911</v>
      </c>
      <c r="S321" s="15">
        <f t="shared" si="49"/>
        <v>43167</v>
      </c>
      <c r="T321" s="20">
        <f>S321/median_percentile!$B$1</f>
        <v>0.85651358671389033</v>
      </c>
      <c r="U321" s="24" t="str" cm="1">
        <f t="array" ref="U321">_xlfn.IFS(T321&lt;1,"underpaid",T321&gt;1,"overpaid",T321=1,"median pay")</f>
        <v>underpaid</v>
      </c>
      <c r="V321" s="5"/>
    </row>
    <row r="322" spans="1:22" x14ac:dyDescent="0.3">
      <c r="A322" s="21" t="s">
        <v>333</v>
      </c>
      <c r="B322" s="8" t="s">
        <v>1332</v>
      </c>
      <c r="C322" s="8" t="s">
        <v>2014</v>
      </c>
      <c r="D322" s="9">
        <v>44158</v>
      </c>
      <c r="E322" s="10">
        <f t="shared" ref="E322:E385" si="50">(F322*12)+(G322*12)</f>
        <v>502512</v>
      </c>
      <c r="F322" s="8">
        <v>36855</v>
      </c>
      <c r="G322" s="8">
        <v>5021</v>
      </c>
      <c r="H322" s="11">
        <f t="shared" ref="H322:H385" si="51">F322*50%</f>
        <v>18427.5</v>
      </c>
      <c r="I322" s="11">
        <f t="shared" ref="I322:I385" si="52">H322*40%</f>
        <v>7371</v>
      </c>
      <c r="J322" s="11">
        <f t="shared" ref="J322:J385" si="53">F322-(H322+I322)</f>
        <v>11056.5</v>
      </c>
      <c r="K322" s="11">
        <f t="shared" ref="K322:K385" si="54">H322*12%</f>
        <v>2211.2999999999997</v>
      </c>
      <c r="L322" s="8">
        <v>200</v>
      </c>
      <c r="M322" s="8">
        <f t="shared" si="45"/>
        <v>208</v>
      </c>
      <c r="N322" s="11">
        <v>5</v>
      </c>
      <c r="O322" s="11">
        <f t="shared" si="46"/>
        <v>88.59375</v>
      </c>
      <c r="P322" s="11">
        <f t="shared" si="47"/>
        <v>177.1875</v>
      </c>
      <c r="Q322" s="11">
        <f t="shared" si="48"/>
        <v>885.9375</v>
      </c>
      <c r="R322" s="8">
        <v>39772</v>
      </c>
      <c r="S322" s="11">
        <f t="shared" si="49"/>
        <v>44793</v>
      </c>
      <c r="T322" s="20">
        <f>S322/median_percentile!$B$1</f>
        <v>0.88877645168010955</v>
      </c>
      <c r="U322" s="24" t="str" cm="1">
        <f t="array" ref="U322">_xlfn.IFS(T322&lt;1,"underpaid",T322&gt;1,"overpaid",T322=1,"median pay")</f>
        <v>underpaid</v>
      </c>
      <c r="V322" s="5"/>
    </row>
    <row r="323" spans="1:22" x14ac:dyDescent="0.3">
      <c r="A323" s="22" t="s">
        <v>334</v>
      </c>
      <c r="B323" s="12" t="s">
        <v>1333</v>
      </c>
      <c r="C323" s="12" t="s">
        <v>2012</v>
      </c>
      <c r="D323" s="13">
        <v>44691</v>
      </c>
      <c r="E323" s="14">
        <f t="shared" si="50"/>
        <v>547080</v>
      </c>
      <c r="F323" s="12">
        <v>41015</v>
      </c>
      <c r="G323" s="12">
        <v>4575</v>
      </c>
      <c r="H323" s="15">
        <f t="shared" si="51"/>
        <v>20507.5</v>
      </c>
      <c r="I323" s="15">
        <f t="shared" si="52"/>
        <v>8203</v>
      </c>
      <c r="J323" s="15">
        <f t="shared" si="53"/>
        <v>12304.5</v>
      </c>
      <c r="K323" s="15">
        <f t="shared" si="54"/>
        <v>2460.9</v>
      </c>
      <c r="L323" s="12">
        <v>200</v>
      </c>
      <c r="M323" s="12">
        <f t="shared" ref="M323:M386" si="55">8*26</f>
        <v>208</v>
      </c>
      <c r="N323" s="15">
        <v>5</v>
      </c>
      <c r="O323" s="15">
        <f t="shared" ref="O323:O386" si="56">H323/M323</f>
        <v>98.59375</v>
      </c>
      <c r="P323" s="15">
        <f t="shared" ref="P323:P386" si="57">O323*2</f>
        <v>197.1875</v>
      </c>
      <c r="Q323" s="15">
        <f t="shared" ref="Q323:Q386" si="58">P323*N323</f>
        <v>985.9375</v>
      </c>
      <c r="R323" s="12">
        <v>42930</v>
      </c>
      <c r="S323" s="15">
        <f t="shared" ref="S323:T386" si="59">R323+G323</f>
        <v>47505</v>
      </c>
      <c r="T323" s="20">
        <f>S323/median_percentile!$B$1</f>
        <v>0.94258757701122053</v>
      </c>
      <c r="U323" s="24" t="str" cm="1">
        <f t="array" ref="U323">_xlfn.IFS(T323&lt;1,"underpaid",T323&gt;1,"overpaid",T323=1,"median pay")</f>
        <v>underpaid</v>
      </c>
      <c r="V323" s="5"/>
    </row>
    <row r="324" spans="1:22" x14ac:dyDescent="0.3">
      <c r="A324" s="21" t="s">
        <v>335</v>
      </c>
      <c r="B324" s="8" t="s">
        <v>1334</v>
      </c>
      <c r="C324" s="8" t="s">
        <v>2016</v>
      </c>
      <c r="D324" s="9">
        <v>45223</v>
      </c>
      <c r="E324" s="10">
        <f t="shared" si="50"/>
        <v>496812</v>
      </c>
      <c r="F324" s="8">
        <v>35353</v>
      </c>
      <c r="G324" s="8">
        <v>6048</v>
      </c>
      <c r="H324" s="11">
        <f t="shared" si="51"/>
        <v>17676.5</v>
      </c>
      <c r="I324" s="11">
        <f t="shared" si="52"/>
        <v>7070.6</v>
      </c>
      <c r="J324" s="11">
        <f t="shared" si="53"/>
        <v>10605.900000000001</v>
      </c>
      <c r="K324" s="11">
        <f t="shared" si="54"/>
        <v>2121.1799999999998</v>
      </c>
      <c r="L324" s="8">
        <v>200</v>
      </c>
      <c r="M324" s="8">
        <f t="shared" si="55"/>
        <v>208</v>
      </c>
      <c r="N324" s="11">
        <v>0</v>
      </c>
      <c r="O324" s="11">
        <f t="shared" si="56"/>
        <v>84.98317307692308</v>
      </c>
      <c r="P324" s="11">
        <f t="shared" si="57"/>
        <v>169.96634615384616</v>
      </c>
      <c r="Q324" s="11">
        <f t="shared" si="58"/>
        <v>0</v>
      </c>
      <c r="R324" s="8">
        <v>39374</v>
      </c>
      <c r="S324" s="11">
        <f t="shared" si="59"/>
        <v>45422</v>
      </c>
      <c r="T324" s="20">
        <f>S324/median_percentile!$B$1</f>
        <v>0.90125698185461867</v>
      </c>
      <c r="U324" s="24" t="str" cm="1">
        <f t="array" ref="U324">_xlfn.IFS(T324&lt;1,"underpaid",T324&gt;1,"overpaid",T324=1,"median pay")</f>
        <v>underpaid</v>
      </c>
      <c r="V324" s="5"/>
    </row>
    <row r="325" spans="1:22" x14ac:dyDescent="0.3">
      <c r="A325" s="22" t="s">
        <v>336</v>
      </c>
      <c r="B325" s="12" t="s">
        <v>1335</v>
      </c>
      <c r="C325" s="12" t="s">
        <v>2011</v>
      </c>
      <c r="D325" s="13">
        <v>44006</v>
      </c>
      <c r="E325" s="14">
        <f t="shared" si="50"/>
        <v>559536</v>
      </c>
      <c r="F325" s="12">
        <v>40387</v>
      </c>
      <c r="G325" s="12">
        <v>6241</v>
      </c>
      <c r="H325" s="15">
        <f t="shared" si="51"/>
        <v>20193.5</v>
      </c>
      <c r="I325" s="15">
        <f t="shared" si="52"/>
        <v>8077.4000000000005</v>
      </c>
      <c r="J325" s="15">
        <f t="shared" si="53"/>
        <v>12116.099999999999</v>
      </c>
      <c r="K325" s="15">
        <f t="shared" si="54"/>
        <v>2423.2199999999998</v>
      </c>
      <c r="L325" s="12">
        <v>200</v>
      </c>
      <c r="M325" s="12">
        <f t="shared" si="55"/>
        <v>208</v>
      </c>
      <c r="N325" s="15">
        <v>5</v>
      </c>
      <c r="O325" s="15">
        <f t="shared" si="56"/>
        <v>97.084134615384613</v>
      </c>
      <c r="P325" s="15">
        <f t="shared" si="57"/>
        <v>194.16826923076923</v>
      </c>
      <c r="Q325" s="15">
        <f t="shared" si="58"/>
        <v>970.84134615384619</v>
      </c>
      <c r="R325" s="12">
        <v>44005</v>
      </c>
      <c r="S325" s="15">
        <f t="shared" si="59"/>
        <v>50246</v>
      </c>
      <c r="T325" s="20">
        <f>S325/median_percentile!$B$1</f>
        <v>0.9969741162931437</v>
      </c>
      <c r="U325" s="24" t="str" cm="1">
        <f t="array" ref="U325">_xlfn.IFS(T325&lt;1,"underpaid",T325&gt;1,"overpaid",T325=1,"median pay")</f>
        <v>underpaid</v>
      </c>
      <c r="V325" s="5"/>
    </row>
    <row r="326" spans="1:22" x14ac:dyDescent="0.3">
      <c r="A326" s="21" t="s">
        <v>337</v>
      </c>
      <c r="B326" s="8" t="s">
        <v>1336</v>
      </c>
      <c r="C326" s="8" t="s">
        <v>2014</v>
      </c>
      <c r="D326" s="9">
        <v>45666</v>
      </c>
      <c r="E326" s="10">
        <f t="shared" si="50"/>
        <v>1064496</v>
      </c>
      <c r="F326" s="8">
        <v>79987</v>
      </c>
      <c r="G326" s="8">
        <v>8721</v>
      </c>
      <c r="H326" s="11">
        <f t="shared" si="51"/>
        <v>39993.5</v>
      </c>
      <c r="I326" s="11">
        <f t="shared" si="52"/>
        <v>15997.400000000001</v>
      </c>
      <c r="J326" s="11">
        <f t="shared" si="53"/>
        <v>23996.1</v>
      </c>
      <c r="K326" s="11">
        <f t="shared" si="54"/>
        <v>4799.22</v>
      </c>
      <c r="L326" s="8">
        <v>200</v>
      </c>
      <c r="M326" s="8">
        <f t="shared" si="55"/>
        <v>208</v>
      </c>
      <c r="N326" s="11">
        <v>1</v>
      </c>
      <c r="O326" s="11">
        <f t="shared" si="56"/>
        <v>192.27644230769232</v>
      </c>
      <c r="P326" s="11">
        <f t="shared" si="57"/>
        <v>384.55288461538464</v>
      </c>
      <c r="Q326" s="11">
        <f t="shared" si="58"/>
        <v>384.55288461538464</v>
      </c>
      <c r="R326" s="8">
        <v>83709</v>
      </c>
      <c r="S326" s="11">
        <f t="shared" si="59"/>
        <v>92430</v>
      </c>
      <c r="T326" s="20">
        <f>S326/median_percentile!$B$1</f>
        <v>1.8339831542605434</v>
      </c>
      <c r="U326" s="24" t="str" cm="1">
        <f t="array" ref="U326">_xlfn.IFS(T326&lt;1,"underpaid",T326&gt;1,"overpaid",T326=1,"median pay")</f>
        <v>overpaid</v>
      </c>
      <c r="V326" s="5"/>
    </row>
    <row r="327" spans="1:22" x14ac:dyDescent="0.3">
      <c r="A327" s="22" t="s">
        <v>338</v>
      </c>
      <c r="B327" s="12" t="s">
        <v>1337</v>
      </c>
      <c r="C327" s="12" t="s">
        <v>2011</v>
      </c>
      <c r="D327" s="13">
        <v>43774</v>
      </c>
      <c r="E327" s="14">
        <f t="shared" si="50"/>
        <v>635580</v>
      </c>
      <c r="F327" s="12">
        <v>44708</v>
      </c>
      <c r="G327" s="12">
        <v>8257</v>
      </c>
      <c r="H327" s="15">
        <f t="shared" si="51"/>
        <v>22354</v>
      </c>
      <c r="I327" s="15">
        <f t="shared" si="52"/>
        <v>8941.6</v>
      </c>
      <c r="J327" s="15">
        <f t="shared" si="53"/>
        <v>13412.400000000001</v>
      </c>
      <c r="K327" s="15">
        <f t="shared" si="54"/>
        <v>2682.48</v>
      </c>
      <c r="L327" s="12">
        <v>200</v>
      </c>
      <c r="M327" s="12">
        <f t="shared" si="55"/>
        <v>208</v>
      </c>
      <c r="N327" s="15">
        <v>4</v>
      </c>
      <c r="O327" s="15">
        <f t="shared" si="56"/>
        <v>107.47115384615384</v>
      </c>
      <c r="P327" s="15">
        <f t="shared" si="57"/>
        <v>214.94230769230768</v>
      </c>
      <c r="Q327" s="15">
        <f t="shared" si="58"/>
        <v>859.76923076923072</v>
      </c>
      <c r="R327" s="12">
        <v>50083</v>
      </c>
      <c r="S327" s="15">
        <f t="shared" si="59"/>
        <v>58340</v>
      </c>
      <c r="T327" s="20">
        <f>S327/median_percentile!$B$1</f>
        <v>1.1575741341508179</v>
      </c>
      <c r="U327" s="24" t="str" cm="1">
        <f t="array" ref="U327">_xlfn.IFS(T327&lt;1,"underpaid",T327&gt;1,"overpaid",T327=1,"median pay")</f>
        <v>overpaid</v>
      </c>
      <c r="V327" s="5"/>
    </row>
    <row r="328" spans="1:22" x14ac:dyDescent="0.3">
      <c r="A328" s="21" t="s">
        <v>339</v>
      </c>
      <c r="B328" s="8" t="s">
        <v>1338</v>
      </c>
      <c r="C328" s="8" t="s">
        <v>2013</v>
      </c>
      <c r="D328" s="9">
        <v>44457</v>
      </c>
      <c r="E328" s="10">
        <f t="shared" si="50"/>
        <v>506160</v>
      </c>
      <c r="F328" s="8">
        <v>36388</v>
      </c>
      <c r="G328" s="8">
        <v>5792</v>
      </c>
      <c r="H328" s="11">
        <f t="shared" si="51"/>
        <v>18194</v>
      </c>
      <c r="I328" s="11">
        <f t="shared" si="52"/>
        <v>7277.6</v>
      </c>
      <c r="J328" s="11">
        <f t="shared" si="53"/>
        <v>10916.400000000001</v>
      </c>
      <c r="K328" s="11">
        <f t="shared" si="54"/>
        <v>2183.2799999999997</v>
      </c>
      <c r="L328" s="8">
        <v>200</v>
      </c>
      <c r="M328" s="8">
        <f t="shared" si="55"/>
        <v>208</v>
      </c>
      <c r="N328" s="11">
        <v>3</v>
      </c>
      <c r="O328" s="11">
        <f t="shared" si="56"/>
        <v>87.47115384615384</v>
      </c>
      <c r="P328" s="11">
        <f t="shared" si="57"/>
        <v>174.94230769230768</v>
      </c>
      <c r="Q328" s="11">
        <f t="shared" si="58"/>
        <v>524.82692307692309</v>
      </c>
      <c r="R328" s="8">
        <v>39797</v>
      </c>
      <c r="S328" s="11">
        <f t="shared" si="59"/>
        <v>45589</v>
      </c>
      <c r="T328" s="20">
        <f>S328/median_percentile!$B$1</f>
        <v>0.90457057253688111</v>
      </c>
      <c r="U328" s="24" t="str" cm="1">
        <f t="array" ref="U328">_xlfn.IFS(T328&lt;1,"underpaid",T328&gt;1,"overpaid",T328=1,"median pay")</f>
        <v>underpaid</v>
      </c>
      <c r="V328" s="5"/>
    </row>
    <row r="329" spans="1:22" x14ac:dyDescent="0.3">
      <c r="A329" s="22" t="s">
        <v>340</v>
      </c>
      <c r="B329" s="12" t="s">
        <v>1339</v>
      </c>
      <c r="C329" s="12" t="s">
        <v>2016</v>
      </c>
      <c r="D329" s="13">
        <v>44613</v>
      </c>
      <c r="E329" s="14">
        <f t="shared" si="50"/>
        <v>654444</v>
      </c>
      <c r="F329" s="12">
        <v>46545</v>
      </c>
      <c r="G329" s="12">
        <v>7992</v>
      </c>
      <c r="H329" s="15">
        <f t="shared" si="51"/>
        <v>23272.5</v>
      </c>
      <c r="I329" s="15">
        <f t="shared" si="52"/>
        <v>9309</v>
      </c>
      <c r="J329" s="15">
        <f t="shared" si="53"/>
        <v>13963.5</v>
      </c>
      <c r="K329" s="15">
        <f t="shared" si="54"/>
        <v>2792.7</v>
      </c>
      <c r="L329" s="12">
        <v>200</v>
      </c>
      <c r="M329" s="12">
        <f t="shared" si="55"/>
        <v>208</v>
      </c>
      <c r="N329" s="15">
        <v>4</v>
      </c>
      <c r="O329" s="15">
        <f t="shared" si="56"/>
        <v>111.88701923076923</v>
      </c>
      <c r="P329" s="15">
        <f t="shared" si="57"/>
        <v>223.77403846153845</v>
      </c>
      <c r="Q329" s="15">
        <f t="shared" si="58"/>
        <v>895.09615384615381</v>
      </c>
      <c r="R329" s="12">
        <v>52320</v>
      </c>
      <c r="S329" s="15">
        <f t="shared" si="59"/>
        <v>60312</v>
      </c>
      <c r="T329" s="20">
        <f>S329/median_percentile!$B$1</f>
        <v>1.1967022828060359</v>
      </c>
      <c r="U329" s="24" t="str" cm="1">
        <f t="array" ref="U329">_xlfn.IFS(T329&lt;1,"underpaid",T329&gt;1,"overpaid",T329=1,"median pay")</f>
        <v>overpaid</v>
      </c>
      <c r="V329" s="5"/>
    </row>
    <row r="330" spans="1:22" x14ac:dyDescent="0.3">
      <c r="A330" s="21" t="s">
        <v>341</v>
      </c>
      <c r="B330" s="8" t="s">
        <v>1340</v>
      </c>
      <c r="C330" s="8" t="s">
        <v>2012</v>
      </c>
      <c r="D330" s="9">
        <v>44873</v>
      </c>
      <c r="E330" s="10">
        <f t="shared" si="50"/>
        <v>564588</v>
      </c>
      <c r="F330" s="8">
        <v>39841</v>
      </c>
      <c r="G330" s="8">
        <v>7208</v>
      </c>
      <c r="H330" s="11">
        <f t="shared" si="51"/>
        <v>19920.5</v>
      </c>
      <c r="I330" s="11">
        <f t="shared" si="52"/>
        <v>7968.2000000000007</v>
      </c>
      <c r="J330" s="11">
        <f t="shared" si="53"/>
        <v>11952.3</v>
      </c>
      <c r="K330" s="11">
        <f t="shared" si="54"/>
        <v>2390.46</v>
      </c>
      <c r="L330" s="8">
        <v>200</v>
      </c>
      <c r="M330" s="8">
        <f t="shared" si="55"/>
        <v>208</v>
      </c>
      <c r="N330" s="11">
        <v>5</v>
      </c>
      <c r="O330" s="11">
        <f t="shared" si="56"/>
        <v>95.771634615384613</v>
      </c>
      <c r="P330" s="11">
        <f t="shared" si="57"/>
        <v>191.54326923076923</v>
      </c>
      <c r="Q330" s="11">
        <f t="shared" si="58"/>
        <v>957.71634615384619</v>
      </c>
      <c r="R330" s="8">
        <v>45123</v>
      </c>
      <c r="S330" s="11">
        <f t="shared" si="59"/>
        <v>52331</v>
      </c>
      <c r="T330" s="20">
        <f>S330/median_percentile!$B$1</f>
        <v>1.0383443951704912</v>
      </c>
      <c r="U330" s="24" t="str" cm="1">
        <f t="array" ref="U330">_xlfn.IFS(T330&lt;1,"underpaid",T330&gt;1,"overpaid",T330=1,"median pay")</f>
        <v>overpaid</v>
      </c>
      <c r="V330" s="5"/>
    </row>
    <row r="331" spans="1:22" x14ac:dyDescent="0.3">
      <c r="A331" s="22" t="s">
        <v>342</v>
      </c>
      <c r="B331" s="12" t="s">
        <v>1341</v>
      </c>
      <c r="C331" s="12" t="s">
        <v>2013</v>
      </c>
      <c r="D331" s="13">
        <v>44843</v>
      </c>
      <c r="E331" s="14">
        <f t="shared" si="50"/>
        <v>863916</v>
      </c>
      <c r="F331" s="12">
        <v>63231</v>
      </c>
      <c r="G331" s="12">
        <v>8762</v>
      </c>
      <c r="H331" s="15">
        <f t="shared" si="51"/>
        <v>31615.5</v>
      </c>
      <c r="I331" s="15">
        <f t="shared" si="52"/>
        <v>12646.2</v>
      </c>
      <c r="J331" s="15">
        <f t="shared" si="53"/>
        <v>18969.300000000003</v>
      </c>
      <c r="K331" s="15">
        <f t="shared" si="54"/>
        <v>3793.8599999999997</v>
      </c>
      <c r="L331" s="12">
        <v>200</v>
      </c>
      <c r="M331" s="12">
        <f t="shared" si="55"/>
        <v>208</v>
      </c>
      <c r="N331" s="15">
        <v>0</v>
      </c>
      <c r="O331" s="15">
        <f t="shared" si="56"/>
        <v>151.99759615384616</v>
      </c>
      <c r="P331" s="15">
        <f t="shared" si="57"/>
        <v>303.99519230769232</v>
      </c>
      <c r="Q331" s="15">
        <f t="shared" si="58"/>
        <v>0</v>
      </c>
      <c r="R331" s="12">
        <v>69053</v>
      </c>
      <c r="S331" s="15">
        <f t="shared" si="59"/>
        <v>77815</v>
      </c>
      <c r="T331" s="20">
        <f>S331/median_percentile!$B$1</f>
        <v>1.5439943649116541</v>
      </c>
      <c r="U331" s="24" t="str" cm="1">
        <f t="array" ref="U331">_xlfn.IFS(T331&lt;1,"underpaid",T331&gt;1,"overpaid",T331=1,"median pay")</f>
        <v>overpaid</v>
      </c>
      <c r="V331" s="5"/>
    </row>
    <row r="332" spans="1:22" x14ac:dyDescent="0.3">
      <c r="A332" s="21" t="s">
        <v>343</v>
      </c>
      <c r="B332" s="8" t="s">
        <v>1342</v>
      </c>
      <c r="C332" s="8" t="s">
        <v>2012</v>
      </c>
      <c r="D332" s="9">
        <v>45388</v>
      </c>
      <c r="E332" s="10">
        <f t="shared" si="50"/>
        <v>562356</v>
      </c>
      <c r="F332" s="8">
        <v>41160</v>
      </c>
      <c r="G332" s="8">
        <v>5703</v>
      </c>
      <c r="H332" s="11">
        <f t="shared" si="51"/>
        <v>20580</v>
      </c>
      <c r="I332" s="11">
        <f t="shared" si="52"/>
        <v>8232</v>
      </c>
      <c r="J332" s="11">
        <f t="shared" si="53"/>
        <v>12348</v>
      </c>
      <c r="K332" s="11">
        <f t="shared" si="54"/>
        <v>2469.6</v>
      </c>
      <c r="L332" s="8">
        <v>200</v>
      </c>
      <c r="M332" s="8">
        <f t="shared" si="55"/>
        <v>208</v>
      </c>
      <c r="N332" s="11">
        <v>2</v>
      </c>
      <c r="O332" s="11">
        <f t="shared" si="56"/>
        <v>98.942307692307693</v>
      </c>
      <c r="P332" s="11">
        <f t="shared" si="57"/>
        <v>197.88461538461539</v>
      </c>
      <c r="Q332" s="11">
        <f t="shared" si="58"/>
        <v>395.76923076923077</v>
      </c>
      <c r="R332" s="8">
        <v>44880</v>
      </c>
      <c r="S332" s="11">
        <f t="shared" si="59"/>
        <v>50583</v>
      </c>
      <c r="T332" s="20">
        <f>S332/median_percentile!$B$1</f>
        <v>1.0036608232387869</v>
      </c>
      <c r="U332" s="24" t="str" cm="1">
        <f t="array" ref="U332">_xlfn.IFS(T332&lt;1,"underpaid",T332&gt;1,"overpaid",T332=1,"median pay")</f>
        <v>overpaid</v>
      </c>
      <c r="V332" s="5"/>
    </row>
    <row r="333" spans="1:22" x14ac:dyDescent="0.3">
      <c r="A333" s="22" t="s">
        <v>344</v>
      </c>
      <c r="B333" s="12" t="s">
        <v>1343</v>
      </c>
      <c r="C333" s="12" t="s">
        <v>2011</v>
      </c>
      <c r="D333" s="13">
        <v>45365</v>
      </c>
      <c r="E333" s="14">
        <f t="shared" si="50"/>
        <v>520800</v>
      </c>
      <c r="F333" s="12">
        <v>37068</v>
      </c>
      <c r="G333" s="12">
        <v>6332</v>
      </c>
      <c r="H333" s="15">
        <f t="shared" si="51"/>
        <v>18534</v>
      </c>
      <c r="I333" s="15">
        <f t="shared" si="52"/>
        <v>7413.6</v>
      </c>
      <c r="J333" s="15">
        <f t="shared" si="53"/>
        <v>11120.400000000001</v>
      </c>
      <c r="K333" s="15">
        <f t="shared" si="54"/>
        <v>2224.08</v>
      </c>
      <c r="L333" s="12">
        <v>200</v>
      </c>
      <c r="M333" s="12">
        <f t="shared" si="55"/>
        <v>208</v>
      </c>
      <c r="N333" s="15">
        <v>2</v>
      </c>
      <c r="O333" s="15">
        <f t="shared" si="56"/>
        <v>89.105769230769226</v>
      </c>
      <c r="P333" s="15">
        <f t="shared" si="57"/>
        <v>178.21153846153845</v>
      </c>
      <c r="Q333" s="15">
        <f t="shared" si="58"/>
        <v>356.42307692307691</v>
      </c>
      <c r="R333" s="12">
        <v>40976</v>
      </c>
      <c r="S333" s="15">
        <f t="shared" si="59"/>
        <v>47308</v>
      </c>
      <c r="T333" s="20">
        <f>S333/median_percentile!$B$1</f>
        <v>0.9386787305177734</v>
      </c>
      <c r="U333" s="24" t="str" cm="1">
        <f t="array" ref="U333">_xlfn.IFS(T333&lt;1,"underpaid",T333&gt;1,"overpaid",T333=1,"median pay")</f>
        <v>underpaid</v>
      </c>
      <c r="V333" s="5"/>
    </row>
    <row r="334" spans="1:22" x14ac:dyDescent="0.3">
      <c r="A334" s="21" t="s">
        <v>345</v>
      </c>
      <c r="B334" s="8" t="s">
        <v>1344</v>
      </c>
      <c r="C334" s="8" t="s">
        <v>2013</v>
      </c>
      <c r="D334" s="9">
        <v>44761</v>
      </c>
      <c r="E334" s="10">
        <f t="shared" si="50"/>
        <v>582768</v>
      </c>
      <c r="F334" s="8">
        <v>43135</v>
      </c>
      <c r="G334" s="8">
        <v>5429</v>
      </c>
      <c r="H334" s="11">
        <f t="shared" si="51"/>
        <v>21567.5</v>
      </c>
      <c r="I334" s="11">
        <f t="shared" si="52"/>
        <v>8627</v>
      </c>
      <c r="J334" s="11">
        <f t="shared" si="53"/>
        <v>12940.5</v>
      </c>
      <c r="K334" s="11">
        <f t="shared" si="54"/>
        <v>2588.1</v>
      </c>
      <c r="L334" s="8">
        <v>200</v>
      </c>
      <c r="M334" s="8">
        <f t="shared" si="55"/>
        <v>208</v>
      </c>
      <c r="N334" s="11">
        <v>5</v>
      </c>
      <c r="O334" s="11">
        <f t="shared" si="56"/>
        <v>103.68990384615384</v>
      </c>
      <c r="P334" s="11">
        <f t="shared" si="57"/>
        <v>207.37980769230768</v>
      </c>
      <c r="Q334" s="11">
        <f t="shared" si="58"/>
        <v>1036.8990384615383</v>
      </c>
      <c r="R334" s="8">
        <v>46494</v>
      </c>
      <c r="S334" s="11">
        <f t="shared" si="59"/>
        <v>51923</v>
      </c>
      <c r="T334" s="20">
        <f>S334/median_percentile!$B$1</f>
        <v>1.0302489161383772</v>
      </c>
      <c r="U334" s="24" t="str" cm="1">
        <f t="array" ref="U334">_xlfn.IFS(T334&lt;1,"underpaid",T334&gt;1,"overpaid",T334=1,"median pay")</f>
        <v>overpaid</v>
      </c>
      <c r="V334" s="5"/>
    </row>
    <row r="335" spans="1:22" x14ac:dyDescent="0.3">
      <c r="A335" s="22" t="s">
        <v>346</v>
      </c>
      <c r="B335" s="12" t="s">
        <v>1345</v>
      </c>
      <c r="C335" s="12" t="s">
        <v>2013</v>
      </c>
      <c r="D335" s="13">
        <v>44687</v>
      </c>
      <c r="E335" s="14">
        <f t="shared" si="50"/>
        <v>706476</v>
      </c>
      <c r="F335" s="12">
        <v>53356</v>
      </c>
      <c r="G335" s="12">
        <v>5517</v>
      </c>
      <c r="H335" s="15">
        <f t="shared" si="51"/>
        <v>26678</v>
      </c>
      <c r="I335" s="15">
        <f t="shared" si="52"/>
        <v>10671.2</v>
      </c>
      <c r="J335" s="15">
        <f t="shared" si="53"/>
        <v>16006.800000000003</v>
      </c>
      <c r="K335" s="15">
        <f t="shared" si="54"/>
        <v>3201.3599999999997</v>
      </c>
      <c r="L335" s="12">
        <v>200</v>
      </c>
      <c r="M335" s="12">
        <f t="shared" si="55"/>
        <v>208</v>
      </c>
      <c r="N335" s="15">
        <v>0</v>
      </c>
      <c r="O335" s="15">
        <f t="shared" si="56"/>
        <v>128.25961538461539</v>
      </c>
      <c r="P335" s="15">
        <f t="shared" si="57"/>
        <v>256.51923076923077</v>
      </c>
      <c r="Q335" s="15">
        <f t="shared" si="58"/>
        <v>0</v>
      </c>
      <c r="R335" s="12">
        <v>56361</v>
      </c>
      <c r="S335" s="15">
        <f t="shared" si="59"/>
        <v>61878</v>
      </c>
      <c r="T335" s="20">
        <f>S335/median_percentile!$B$1</f>
        <v>1.2277746361498854</v>
      </c>
      <c r="U335" s="24" t="str" cm="1">
        <f t="array" ref="U335">_xlfn.IFS(T335&lt;1,"underpaid",T335&gt;1,"overpaid",T335=1,"median pay")</f>
        <v>overpaid</v>
      </c>
      <c r="V335" s="5"/>
    </row>
    <row r="336" spans="1:22" x14ac:dyDescent="0.3">
      <c r="A336" s="21" t="s">
        <v>347</v>
      </c>
      <c r="B336" s="8" t="s">
        <v>1346</v>
      </c>
      <c r="C336" s="8" t="s">
        <v>2015</v>
      </c>
      <c r="D336" s="9">
        <v>44280</v>
      </c>
      <c r="E336" s="10">
        <f t="shared" si="50"/>
        <v>738684</v>
      </c>
      <c r="F336" s="8">
        <v>54403</v>
      </c>
      <c r="G336" s="8">
        <v>7154</v>
      </c>
      <c r="H336" s="11">
        <f t="shared" si="51"/>
        <v>27201.5</v>
      </c>
      <c r="I336" s="11">
        <f t="shared" si="52"/>
        <v>10880.6</v>
      </c>
      <c r="J336" s="11">
        <f t="shared" si="53"/>
        <v>16320.900000000001</v>
      </c>
      <c r="K336" s="11">
        <f t="shared" si="54"/>
        <v>3264.18</v>
      </c>
      <c r="L336" s="8">
        <v>200</v>
      </c>
      <c r="M336" s="8">
        <f t="shared" si="55"/>
        <v>208</v>
      </c>
      <c r="N336" s="11">
        <v>2</v>
      </c>
      <c r="O336" s="11">
        <f t="shared" si="56"/>
        <v>130.77644230769232</v>
      </c>
      <c r="P336" s="11">
        <f t="shared" si="57"/>
        <v>261.55288461538464</v>
      </c>
      <c r="Q336" s="11">
        <f t="shared" si="58"/>
        <v>523.10576923076928</v>
      </c>
      <c r="R336" s="8">
        <v>58093</v>
      </c>
      <c r="S336" s="11">
        <f t="shared" si="59"/>
        <v>65247</v>
      </c>
      <c r="T336" s="20">
        <f>S336/median_percentile!$B$1</f>
        <v>1.2946218637459448</v>
      </c>
      <c r="U336" s="24" t="str" cm="1">
        <f t="array" ref="U336">_xlfn.IFS(T336&lt;1,"underpaid",T336&gt;1,"overpaid",T336=1,"median pay")</f>
        <v>overpaid</v>
      </c>
      <c r="V336" s="5"/>
    </row>
    <row r="337" spans="1:22" x14ac:dyDescent="0.3">
      <c r="A337" s="22" t="s">
        <v>348</v>
      </c>
      <c r="B337" s="12" t="s">
        <v>1347</v>
      </c>
      <c r="C337" s="12" t="s">
        <v>2011</v>
      </c>
      <c r="D337" s="13">
        <v>44517</v>
      </c>
      <c r="E337" s="14">
        <f t="shared" si="50"/>
        <v>564264</v>
      </c>
      <c r="F337" s="12">
        <v>40678</v>
      </c>
      <c r="G337" s="12">
        <v>6344</v>
      </c>
      <c r="H337" s="15">
        <f t="shared" si="51"/>
        <v>20339</v>
      </c>
      <c r="I337" s="15">
        <f t="shared" si="52"/>
        <v>8135.6</v>
      </c>
      <c r="J337" s="15">
        <f t="shared" si="53"/>
        <v>12203.400000000001</v>
      </c>
      <c r="K337" s="15">
        <f t="shared" si="54"/>
        <v>2440.6799999999998</v>
      </c>
      <c r="L337" s="12">
        <v>200</v>
      </c>
      <c r="M337" s="12">
        <f t="shared" si="55"/>
        <v>208</v>
      </c>
      <c r="N337" s="15">
        <v>3</v>
      </c>
      <c r="O337" s="15">
        <f t="shared" si="56"/>
        <v>97.78365384615384</v>
      </c>
      <c r="P337" s="15">
        <f t="shared" si="57"/>
        <v>195.56730769230768</v>
      </c>
      <c r="Q337" s="15">
        <f t="shared" si="58"/>
        <v>586.70192307692309</v>
      </c>
      <c r="R337" s="12">
        <v>44720</v>
      </c>
      <c r="S337" s="15">
        <f t="shared" si="59"/>
        <v>51064</v>
      </c>
      <c r="T337" s="20">
        <f>S337/median_percentile!$B$1</f>
        <v>1.0132047580781174</v>
      </c>
      <c r="U337" s="24" t="str" cm="1">
        <f t="array" ref="U337">_xlfn.IFS(T337&lt;1,"underpaid",T337&gt;1,"overpaid",T337=1,"median pay")</f>
        <v>overpaid</v>
      </c>
      <c r="V337" s="5"/>
    </row>
    <row r="338" spans="1:22" x14ac:dyDescent="0.3">
      <c r="A338" s="21" t="s">
        <v>349</v>
      </c>
      <c r="B338" s="8" t="s">
        <v>1348</v>
      </c>
      <c r="C338" s="8" t="s">
        <v>2013</v>
      </c>
      <c r="D338" s="9">
        <v>45450</v>
      </c>
      <c r="E338" s="10">
        <f t="shared" si="50"/>
        <v>834504</v>
      </c>
      <c r="F338" s="8">
        <v>60088</v>
      </c>
      <c r="G338" s="8">
        <v>9454</v>
      </c>
      <c r="H338" s="11">
        <f t="shared" si="51"/>
        <v>30044</v>
      </c>
      <c r="I338" s="11">
        <f t="shared" si="52"/>
        <v>12017.6</v>
      </c>
      <c r="J338" s="11">
        <f t="shared" si="53"/>
        <v>18026.400000000001</v>
      </c>
      <c r="K338" s="11">
        <f t="shared" si="54"/>
        <v>3605.2799999999997</v>
      </c>
      <c r="L338" s="8">
        <v>200</v>
      </c>
      <c r="M338" s="8">
        <f t="shared" si="55"/>
        <v>208</v>
      </c>
      <c r="N338" s="11">
        <v>0</v>
      </c>
      <c r="O338" s="11">
        <f t="shared" si="56"/>
        <v>144.44230769230768</v>
      </c>
      <c r="P338" s="11">
        <f t="shared" si="57"/>
        <v>288.88461538461536</v>
      </c>
      <c r="Q338" s="11">
        <f t="shared" si="58"/>
        <v>0</v>
      </c>
      <c r="R338" s="8">
        <v>65737</v>
      </c>
      <c r="S338" s="11">
        <f t="shared" si="59"/>
        <v>75191</v>
      </c>
      <c r="T338" s="20">
        <f>S338/median_percentile!$B$1</f>
        <v>1.4919293232933519</v>
      </c>
      <c r="U338" s="24" t="str" cm="1">
        <f t="array" ref="U338">_xlfn.IFS(T338&lt;1,"underpaid",T338&gt;1,"overpaid",T338=1,"median pay")</f>
        <v>overpaid</v>
      </c>
      <c r="V338" s="5"/>
    </row>
    <row r="339" spans="1:22" x14ac:dyDescent="0.3">
      <c r="A339" s="22" t="s">
        <v>350</v>
      </c>
      <c r="B339" s="12" t="s">
        <v>1349</v>
      </c>
      <c r="C339" s="12" t="s">
        <v>2014</v>
      </c>
      <c r="D339" s="13">
        <v>45552</v>
      </c>
      <c r="E339" s="14">
        <f t="shared" si="50"/>
        <v>798528</v>
      </c>
      <c r="F339" s="12">
        <v>58063</v>
      </c>
      <c r="G339" s="12">
        <v>8481</v>
      </c>
      <c r="H339" s="15">
        <f t="shared" si="51"/>
        <v>29031.5</v>
      </c>
      <c r="I339" s="15">
        <f t="shared" si="52"/>
        <v>11612.6</v>
      </c>
      <c r="J339" s="15">
        <f t="shared" si="53"/>
        <v>17418.900000000001</v>
      </c>
      <c r="K339" s="15">
        <f t="shared" si="54"/>
        <v>3483.7799999999997</v>
      </c>
      <c r="L339" s="12">
        <v>200</v>
      </c>
      <c r="M339" s="12">
        <f t="shared" si="55"/>
        <v>208</v>
      </c>
      <c r="N339" s="15">
        <v>3</v>
      </c>
      <c r="O339" s="15">
        <f t="shared" si="56"/>
        <v>139.57451923076923</v>
      </c>
      <c r="P339" s="15">
        <f t="shared" si="57"/>
        <v>279.14903846153845</v>
      </c>
      <c r="Q339" s="15">
        <f t="shared" si="58"/>
        <v>837.44711538461536</v>
      </c>
      <c r="R339" s="12">
        <v>62861</v>
      </c>
      <c r="S339" s="15">
        <f t="shared" si="59"/>
        <v>71342</v>
      </c>
      <c r="T339" s="20">
        <f>S339/median_percentile!$B$1</f>
        <v>1.4155580027183348</v>
      </c>
      <c r="U339" s="24" t="str" cm="1">
        <f t="array" ref="U339">_xlfn.IFS(T339&lt;1,"underpaid",T339&gt;1,"overpaid",T339=1,"median pay")</f>
        <v>overpaid</v>
      </c>
      <c r="V339" s="5"/>
    </row>
    <row r="340" spans="1:22" x14ac:dyDescent="0.3">
      <c r="A340" s="21" t="s">
        <v>351</v>
      </c>
      <c r="B340" s="8" t="s">
        <v>1350</v>
      </c>
      <c r="C340" s="8" t="s">
        <v>2016</v>
      </c>
      <c r="D340" s="9">
        <v>44391</v>
      </c>
      <c r="E340" s="10">
        <f t="shared" si="50"/>
        <v>585720</v>
      </c>
      <c r="F340" s="8">
        <v>43765</v>
      </c>
      <c r="G340" s="8">
        <v>5045</v>
      </c>
      <c r="H340" s="11">
        <f t="shared" si="51"/>
        <v>21882.5</v>
      </c>
      <c r="I340" s="11">
        <f t="shared" si="52"/>
        <v>8753</v>
      </c>
      <c r="J340" s="11">
        <f t="shared" si="53"/>
        <v>13129.5</v>
      </c>
      <c r="K340" s="11">
        <f t="shared" si="54"/>
        <v>2625.9</v>
      </c>
      <c r="L340" s="8">
        <v>200</v>
      </c>
      <c r="M340" s="8">
        <f t="shared" si="55"/>
        <v>208</v>
      </c>
      <c r="N340" s="11">
        <v>2</v>
      </c>
      <c r="O340" s="11">
        <f t="shared" si="56"/>
        <v>105.20432692307692</v>
      </c>
      <c r="P340" s="11">
        <f t="shared" si="57"/>
        <v>210.40865384615384</v>
      </c>
      <c r="Q340" s="11">
        <f t="shared" si="58"/>
        <v>420.81730769230768</v>
      </c>
      <c r="R340" s="8">
        <v>45985</v>
      </c>
      <c r="S340" s="11">
        <f t="shared" si="59"/>
        <v>51030</v>
      </c>
      <c r="T340" s="20">
        <f>S340/median_percentile!$B$1</f>
        <v>1.0125301348254412</v>
      </c>
      <c r="U340" s="24" t="str" cm="1">
        <f t="array" ref="U340">_xlfn.IFS(T340&lt;1,"underpaid",T340&gt;1,"overpaid",T340=1,"median pay")</f>
        <v>overpaid</v>
      </c>
      <c r="V340" s="5"/>
    </row>
    <row r="341" spans="1:22" x14ac:dyDescent="0.3">
      <c r="A341" s="22" t="s">
        <v>352</v>
      </c>
      <c r="B341" s="12" t="s">
        <v>1351</v>
      </c>
      <c r="C341" s="12" t="s">
        <v>2015</v>
      </c>
      <c r="D341" s="13">
        <v>44464</v>
      </c>
      <c r="E341" s="14">
        <f t="shared" si="50"/>
        <v>669804</v>
      </c>
      <c r="F341" s="12">
        <v>49710</v>
      </c>
      <c r="G341" s="12">
        <v>6107</v>
      </c>
      <c r="H341" s="15">
        <f t="shared" si="51"/>
        <v>24855</v>
      </c>
      <c r="I341" s="15">
        <f t="shared" si="52"/>
        <v>9942</v>
      </c>
      <c r="J341" s="15">
        <f t="shared" si="53"/>
        <v>14913</v>
      </c>
      <c r="K341" s="15">
        <f t="shared" si="54"/>
        <v>2982.6</v>
      </c>
      <c r="L341" s="12">
        <v>200</v>
      </c>
      <c r="M341" s="12">
        <f t="shared" si="55"/>
        <v>208</v>
      </c>
      <c r="N341" s="15">
        <v>0</v>
      </c>
      <c r="O341" s="15">
        <f t="shared" si="56"/>
        <v>119.49519230769231</v>
      </c>
      <c r="P341" s="15">
        <f t="shared" si="57"/>
        <v>238.99038461538461</v>
      </c>
      <c r="Q341" s="15">
        <f t="shared" si="58"/>
        <v>0</v>
      </c>
      <c r="R341" s="12">
        <v>52635</v>
      </c>
      <c r="S341" s="15">
        <f t="shared" si="59"/>
        <v>58742</v>
      </c>
      <c r="T341" s="20">
        <f>S341/median_percentile!$B$1</f>
        <v>1.165550562020695</v>
      </c>
      <c r="U341" s="24" t="str" cm="1">
        <f t="array" ref="U341">_xlfn.IFS(T341&lt;1,"underpaid",T341&gt;1,"overpaid",T341=1,"median pay")</f>
        <v>overpaid</v>
      </c>
      <c r="V341" s="5"/>
    </row>
    <row r="342" spans="1:22" x14ac:dyDescent="0.3">
      <c r="A342" s="21" t="s">
        <v>353</v>
      </c>
      <c r="B342" s="8" t="s">
        <v>1352</v>
      </c>
      <c r="C342" s="8" t="s">
        <v>2014</v>
      </c>
      <c r="D342" s="9">
        <v>43495</v>
      </c>
      <c r="E342" s="10">
        <f t="shared" si="50"/>
        <v>533160</v>
      </c>
      <c r="F342" s="8">
        <v>37837</v>
      </c>
      <c r="G342" s="8">
        <v>6593</v>
      </c>
      <c r="H342" s="11">
        <f t="shared" si="51"/>
        <v>18918.5</v>
      </c>
      <c r="I342" s="11">
        <f t="shared" si="52"/>
        <v>7567.4000000000005</v>
      </c>
      <c r="J342" s="11">
        <f t="shared" si="53"/>
        <v>11351.099999999999</v>
      </c>
      <c r="K342" s="11">
        <f t="shared" si="54"/>
        <v>2270.2199999999998</v>
      </c>
      <c r="L342" s="8">
        <v>200</v>
      </c>
      <c r="M342" s="8">
        <f t="shared" si="55"/>
        <v>208</v>
      </c>
      <c r="N342" s="11">
        <v>3</v>
      </c>
      <c r="O342" s="11">
        <f t="shared" si="56"/>
        <v>90.95432692307692</v>
      </c>
      <c r="P342" s="11">
        <f t="shared" si="57"/>
        <v>181.90865384615384</v>
      </c>
      <c r="Q342" s="11">
        <f t="shared" si="58"/>
        <v>545.72596153846155</v>
      </c>
      <c r="R342" s="8">
        <v>42275</v>
      </c>
      <c r="S342" s="11">
        <f t="shared" si="59"/>
        <v>48868</v>
      </c>
      <c r="T342" s="20">
        <f>S342/median_percentile!$B$1</f>
        <v>0.96963203269938592</v>
      </c>
      <c r="U342" s="24" t="str" cm="1">
        <f t="array" ref="U342">_xlfn.IFS(T342&lt;1,"underpaid",T342&gt;1,"overpaid",T342=1,"median pay")</f>
        <v>underpaid</v>
      </c>
      <c r="V342" s="5"/>
    </row>
    <row r="343" spans="1:22" x14ac:dyDescent="0.3">
      <c r="A343" s="22" t="s">
        <v>354</v>
      </c>
      <c r="B343" s="12" t="s">
        <v>1353</v>
      </c>
      <c r="C343" s="12" t="s">
        <v>2014</v>
      </c>
      <c r="D343" s="13">
        <v>43580</v>
      </c>
      <c r="E343" s="14">
        <f t="shared" si="50"/>
        <v>967404</v>
      </c>
      <c r="F343" s="12">
        <v>68168</v>
      </c>
      <c r="G343" s="12">
        <v>12449</v>
      </c>
      <c r="H343" s="15">
        <f t="shared" si="51"/>
        <v>34084</v>
      </c>
      <c r="I343" s="15">
        <f t="shared" si="52"/>
        <v>13633.6</v>
      </c>
      <c r="J343" s="15">
        <f t="shared" si="53"/>
        <v>20450.400000000001</v>
      </c>
      <c r="K343" s="15">
        <f t="shared" si="54"/>
        <v>4090.08</v>
      </c>
      <c r="L343" s="12">
        <v>200</v>
      </c>
      <c r="M343" s="12">
        <f t="shared" si="55"/>
        <v>208</v>
      </c>
      <c r="N343" s="15">
        <v>0</v>
      </c>
      <c r="O343" s="15">
        <f t="shared" si="56"/>
        <v>163.86538461538461</v>
      </c>
      <c r="P343" s="15">
        <f t="shared" si="57"/>
        <v>327.73076923076923</v>
      </c>
      <c r="Q343" s="15">
        <f t="shared" si="58"/>
        <v>0</v>
      </c>
      <c r="R343" s="12">
        <v>76327</v>
      </c>
      <c r="S343" s="15">
        <f t="shared" si="59"/>
        <v>88776</v>
      </c>
      <c r="T343" s="20">
        <f>S343/median_percentile!$B$1</f>
        <v>1.7614809964582279</v>
      </c>
      <c r="U343" s="24" t="str" cm="1">
        <f t="array" ref="U343">_xlfn.IFS(T343&lt;1,"underpaid",T343&gt;1,"overpaid",T343=1,"median pay")</f>
        <v>overpaid</v>
      </c>
      <c r="V343" s="5"/>
    </row>
    <row r="344" spans="1:22" x14ac:dyDescent="0.3">
      <c r="A344" s="21" t="s">
        <v>355</v>
      </c>
      <c r="B344" s="8" t="s">
        <v>1354</v>
      </c>
      <c r="C344" s="8" t="s">
        <v>2011</v>
      </c>
      <c r="D344" s="9">
        <v>45857</v>
      </c>
      <c r="E344" s="10">
        <f t="shared" si="50"/>
        <v>415740</v>
      </c>
      <c r="F344" s="8">
        <v>30198</v>
      </c>
      <c r="G344" s="8">
        <v>4447</v>
      </c>
      <c r="H344" s="11">
        <f t="shared" si="51"/>
        <v>15099</v>
      </c>
      <c r="I344" s="11">
        <f t="shared" si="52"/>
        <v>6039.6</v>
      </c>
      <c r="J344" s="11">
        <f t="shared" si="53"/>
        <v>9059.4000000000015</v>
      </c>
      <c r="K344" s="11">
        <f t="shared" si="54"/>
        <v>1811.8799999999999</v>
      </c>
      <c r="L344" s="8">
        <v>200</v>
      </c>
      <c r="M344" s="8">
        <f t="shared" si="55"/>
        <v>208</v>
      </c>
      <c r="N344" s="11">
        <v>1</v>
      </c>
      <c r="O344" s="11">
        <f t="shared" si="56"/>
        <v>72.59134615384616</v>
      </c>
      <c r="P344" s="11">
        <f t="shared" si="57"/>
        <v>145.18269230769232</v>
      </c>
      <c r="Q344" s="11">
        <f t="shared" si="58"/>
        <v>145.18269230769232</v>
      </c>
      <c r="R344" s="8">
        <v>32885</v>
      </c>
      <c r="S344" s="11">
        <f t="shared" si="59"/>
        <v>37332</v>
      </c>
      <c r="T344" s="20">
        <f>S344/median_percentile!$B$1</f>
        <v>0.74073633143843565</v>
      </c>
      <c r="U344" s="24" t="str" cm="1">
        <f t="array" ref="U344">_xlfn.IFS(T344&lt;1,"underpaid",T344&gt;1,"overpaid",T344=1,"median pay")</f>
        <v>underpaid</v>
      </c>
      <c r="V344" s="5"/>
    </row>
    <row r="345" spans="1:22" x14ac:dyDescent="0.3">
      <c r="A345" s="22" t="s">
        <v>356</v>
      </c>
      <c r="B345" s="12" t="s">
        <v>1355</v>
      </c>
      <c r="C345" s="12" t="s">
        <v>2014</v>
      </c>
      <c r="D345" s="13">
        <v>45268</v>
      </c>
      <c r="E345" s="14">
        <f t="shared" si="50"/>
        <v>1004016</v>
      </c>
      <c r="F345" s="12">
        <v>73368</v>
      </c>
      <c r="G345" s="12">
        <v>10300</v>
      </c>
      <c r="H345" s="15">
        <f t="shared" si="51"/>
        <v>36684</v>
      </c>
      <c r="I345" s="15">
        <f t="shared" si="52"/>
        <v>14673.6</v>
      </c>
      <c r="J345" s="15">
        <f t="shared" si="53"/>
        <v>22010.400000000001</v>
      </c>
      <c r="K345" s="15">
        <f t="shared" si="54"/>
        <v>4402.08</v>
      </c>
      <c r="L345" s="12">
        <v>200</v>
      </c>
      <c r="M345" s="12">
        <f t="shared" si="55"/>
        <v>208</v>
      </c>
      <c r="N345" s="15">
        <v>1</v>
      </c>
      <c r="O345" s="15">
        <f t="shared" si="56"/>
        <v>176.36538461538461</v>
      </c>
      <c r="P345" s="15">
        <f t="shared" si="57"/>
        <v>352.73076923076923</v>
      </c>
      <c r="Q345" s="15">
        <f t="shared" si="58"/>
        <v>352.73076923076923</v>
      </c>
      <c r="R345" s="12">
        <v>79677</v>
      </c>
      <c r="S345" s="15">
        <f t="shared" si="59"/>
        <v>89977</v>
      </c>
      <c r="T345" s="20">
        <f>S345/median_percentile!$B$1</f>
        <v>1.7853110707659949</v>
      </c>
      <c r="U345" s="24" t="str" cm="1">
        <f t="array" ref="U345">_xlfn.IFS(T345&lt;1,"underpaid",T345&gt;1,"overpaid",T345=1,"median pay")</f>
        <v>overpaid</v>
      </c>
      <c r="V345" s="5"/>
    </row>
    <row r="346" spans="1:22" x14ac:dyDescent="0.3">
      <c r="A346" s="21" t="s">
        <v>357</v>
      </c>
      <c r="B346" s="8" t="s">
        <v>1356</v>
      </c>
      <c r="C346" s="8" t="s">
        <v>2014</v>
      </c>
      <c r="D346" s="9">
        <v>45662</v>
      </c>
      <c r="E346" s="10">
        <f t="shared" si="50"/>
        <v>514788</v>
      </c>
      <c r="F346" s="8">
        <v>37208</v>
      </c>
      <c r="G346" s="8">
        <v>5691</v>
      </c>
      <c r="H346" s="11">
        <f t="shared" si="51"/>
        <v>18604</v>
      </c>
      <c r="I346" s="11">
        <f t="shared" si="52"/>
        <v>7441.6</v>
      </c>
      <c r="J346" s="11">
        <f t="shared" si="53"/>
        <v>11162.400000000001</v>
      </c>
      <c r="K346" s="11">
        <f t="shared" si="54"/>
        <v>2232.48</v>
      </c>
      <c r="L346" s="8">
        <v>200</v>
      </c>
      <c r="M346" s="8">
        <f t="shared" si="55"/>
        <v>208</v>
      </c>
      <c r="N346" s="11">
        <v>5</v>
      </c>
      <c r="O346" s="11">
        <f t="shared" si="56"/>
        <v>89.442307692307693</v>
      </c>
      <c r="P346" s="11">
        <f t="shared" si="57"/>
        <v>178.88461538461539</v>
      </c>
      <c r="Q346" s="11">
        <f t="shared" si="58"/>
        <v>894.42307692307691</v>
      </c>
      <c r="R346" s="8">
        <v>40467</v>
      </c>
      <c r="S346" s="11">
        <f t="shared" si="59"/>
        <v>46158</v>
      </c>
      <c r="T346" s="20">
        <f>S346/median_percentile!$B$1</f>
        <v>0.91586059108902051</v>
      </c>
      <c r="U346" s="24" t="str" cm="1">
        <f t="array" ref="U346">_xlfn.IFS(T346&lt;1,"underpaid",T346&gt;1,"overpaid",T346=1,"median pay")</f>
        <v>underpaid</v>
      </c>
      <c r="V346" s="5"/>
    </row>
    <row r="347" spans="1:22" x14ac:dyDescent="0.3">
      <c r="A347" s="22" t="s">
        <v>358</v>
      </c>
      <c r="B347" s="12" t="s">
        <v>1357</v>
      </c>
      <c r="C347" s="12" t="s">
        <v>2011</v>
      </c>
      <c r="D347" s="13">
        <v>44859</v>
      </c>
      <c r="E347" s="14">
        <f t="shared" si="50"/>
        <v>434244</v>
      </c>
      <c r="F347" s="12">
        <v>31723</v>
      </c>
      <c r="G347" s="12">
        <v>4464</v>
      </c>
      <c r="H347" s="15">
        <f t="shared" si="51"/>
        <v>15861.5</v>
      </c>
      <c r="I347" s="15">
        <f t="shared" si="52"/>
        <v>6344.6</v>
      </c>
      <c r="J347" s="15">
        <f t="shared" si="53"/>
        <v>9516.9000000000015</v>
      </c>
      <c r="K347" s="15">
        <f t="shared" si="54"/>
        <v>1903.3799999999999</v>
      </c>
      <c r="L347" s="12">
        <v>200</v>
      </c>
      <c r="M347" s="12">
        <f t="shared" si="55"/>
        <v>208</v>
      </c>
      <c r="N347" s="15">
        <v>2</v>
      </c>
      <c r="O347" s="15">
        <f t="shared" si="56"/>
        <v>76.257211538461533</v>
      </c>
      <c r="P347" s="15">
        <f t="shared" si="57"/>
        <v>152.51442307692307</v>
      </c>
      <c r="Q347" s="15">
        <f t="shared" si="58"/>
        <v>305.02884615384613</v>
      </c>
      <c r="R347" s="12">
        <v>34612</v>
      </c>
      <c r="S347" s="15">
        <f t="shared" si="59"/>
        <v>39076</v>
      </c>
      <c r="T347" s="20">
        <f>S347/median_percentile!$B$1</f>
        <v>0.77534053592864871</v>
      </c>
      <c r="U347" s="24" t="str" cm="1">
        <f t="array" ref="U347">_xlfn.IFS(T347&lt;1,"underpaid",T347&gt;1,"overpaid",T347=1,"median pay")</f>
        <v>underpaid</v>
      </c>
      <c r="V347" s="5"/>
    </row>
    <row r="348" spans="1:22" x14ac:dyDescent="0.3">
      <c r="A348" s="21" t="s">
        <v>359</v>
      </c>
      <c r="B348" s="8" t="s">
        <v>1358</v>
      </c>
      <c r="C348" s="8" t="s">
        <v>2011</v>
      </c>
      <c r="D348" s="9">
        <v>45831</v>
      </c>
      <c r="E348" s="10">
        <f t="shared" si="50"/>
        <v>351960</v>
      </c>
      <c r="F348" s="8">
        <v>25359</v>
      </c>
      <c r="G348" s="8">
        <v>3971</v>
      </c>
      <c r="H348" s="11">
        <f t="shared" si="51"/>
        <v>12679.5</v>
      </c>
      <c r="I348" s="11">
        <f t="shared" si="52"/>
        <v>5071.8</v>
      </c>
      <c r="J348" s="11">
        <f t="shared" si="53"/>
        <v>7607.7000000000007</v>
      </c>
      <c r="K348" s="11">
        <f t="shared" si="54"/>
        <v>1521.54</v>
      </c>
      <c r="L348" s="8">
        <v>200</v>
      </c>
      <c r="M348" s="8">
        <f t="shared" si="55"/>
        <v>208</v>
      </c>
      <c r="N348" s="11">
        <v>0</v>
      </c>
      <c r="O348" s="11">
        <f t="shared" si="56"/>
        <v>60.959134615384613</v>
      </c>
      <c r="P348" s="11">
        <f t="shared" si="57"/>
        <v>121.91826923076923</v>
      </c>
      <c r="Q348" s="11">
        <f t="shared" si="58"/>
        <v>0</v>
      </c>
      <c r="R348" s="8">
        <v>27820</v>
      </c>
      <c r="S348" s="11">
        <f t="shared" si="59"/>
        <v>31791</v>
      </c>
      <c r="T348" s="20">
        <f>S348/median_percentile!$B$1</f>
        <v>0.63079258311259268</v>
      </c>
      <c r="U348" s="24" t="str" cm="1">
        <f t="array" ref="U348">_xlfn.IFS(T348&lt;1,"underpaid",T348&gt;1,"overpaid",T348=1,"median pay")</f>
        <v>underpaid</v>
      </c>
      <c r="V348" s="5"/>
    </row>
    <row r="349" spans="1:22" x14ac:dyDescent="0.3">
      <c r="A349" s="22" t="s">
        <v>360</v>
      </c>
      <c r="B349" s="12" t="s">
        <v>1359</v>
      </c>
      <c r="C349" s="12" t="s">
        <v>2015</v>
      </c>
      <c r="D349" s="13">
        <v>45066</v>
      </c>
      <c r="E349" s="14">
        <f t="shared" si="50"/>
        <v>442740</v>
      </c>
      <c r="F349" s="12">
        <v>30772</v>
      </c>
      <c r="G349" s="12">
        <v>6123</v>
      </c>
      <c r="H349" s="15">
        <f t="shared" si="51"/>
        <v>15386</v>
      </c>
      <c r="I349" s="15">
        <f t="shared" si="52"/>
        <v>6154.4000000000005</v>
      </c>
      <c r="J349" s="15">
        <f t="shared" si="53"/>
        <v>9231.5999999999985</v>
      </c>
      <c r="K349" s="15">
        <f t="shared" si="54"/>
        <v>1846.32</v>
      </c>
      <c r="L349" s="12">
        <v>200</v>
      </c>
      <c r="M349" s="12">
        <f t="shared" si="55"/>
        <v>208</v>
      </c>
      <c r="N349" s="15">
        <v>3</v>
      </c>
      <c r="O349" s="15">
        <f t="shared" si="56"/>
        <v>73.97115384615384</v>
      </c>
      <c r="P349" s="15">
        <f t="shared" si="57"/>
        <v>147.94230769230768</v>
      </c>
      <c r="Q349" s="15">
        <f t="shared" si="58"/>
        <v>443.82692307692304</v>
      </c>
      <c r="R349" s="12">
        <v>34849</v>
      </c>
      <c r="S349" s="15">
        <f t="shared" si="59"/>
        <v>40972</v>
      </c>
      <c r="T349" s="20">
        <f>S349/median_percentile!$B$1</f>
        <v>0.8129607031955316</v>
      </c>
      <c r="U349" s="24" t="str" cm="1">
        <f t="array" ref="U349">_xlfn.IFS(T349&lt;1,"underpaid",T349&gt;1,"overpaid",T349=1,"median pay")</f>
        <v>underpaid</v>
      </c>
      <c r="V349" s="5"/>
    </row>
    <row r="350" spans="1:22" x14ac:dyDescent="0.3">
      <c r="A350" s="21" t="s">
        <v>361</v>
      </c>
      <c r="B350" s="8" t="s">
        <v>1360</v>
      </c>
      <c r="C350" s="8" t="s">
        <v>2013</v>
      </c>
      <c r="D350" s="9">
        <v>44623</v>
      </c>
      <c r="E350" s="10">
        <f t="shared" si="50"/>
        <v>683220</v>
      </c>
      <c r="F350" s="8">
        <v>50945</v>
      </c>
      <c r="G350" s="8">
        <v>5990</v>
      </c>
      <c r="H350" s="11">
        <f t="shared" si="51"/>
        <v>25472.5</v>
      </c>
      <c r="I350" s="11">
        <f t="shared" si="52"/>
        <v>10189</v>
      </c>
      <c r="J350" s="11">
        <f t="shared" si="53"/>
        <v>15283.5</v>
      </c>
      <c r="K350" s="11">
        <f t="shared" si="54"/>
        <v>3056.7</v>
      </c>
      <c r="L350" s="8">
        <v>200</v>
      </c>
      <c r="M350" s="8">
        <f t="shared" si="55"/>
        <v>208</v>
      </c>
      <c r="N350" s="11">
        <v>4</v>
      </c>
      <c r="O350" s="11">
        <f t="shared" si="56"/>
        <v>122.46394230769231</v>
      </c>
      <c r="P350" s="11">
        <f t="shared" si="57"/>
        <v>244.92788461538461</v>
      </c>
      <c r="Q350" s="11">
        <f t="shared" si="58"/>
        <v>979.71153846153845</v>
      </c>
      <c r="R350" s="8">
        <v>53679</v>
      </c>
      <c r="S350" s="11">
        <f t="shared" si="59"/>
        <v>59669</v>
      </c>
      <c r="T350" s="20">
        <f>S350/median_percentile!$B$1</f>
        <v>1.1839439665863072</v>
      </c>
      <c r="U350" s="24" t="str" cm="1">
        <f t="array" ref="U350">_xlfn.IFS(T350&lt;1,"underpaid",T350&gt;1,"overpaid",T350=1,"median pay")</f>
        <v>overpaid</v>
      </c>
      <c r="V350" s="5"/>
    </row>
    <row r="351" spans="1:22" x14ac:dyDescent="0.3">
      <c r="A351" s="22" t="s">
        <v>362</v>
      </c>
      <c r="B351" s="12" t="s">
        <v>1361</v>
      </c>
      <c r="C351" s="12" t="s">
        <v>2013</v>
      </c>
      <c r="D351" s="13">
        <v>45030</v>
      </c>
      <c r="E351" s="14">
        <f t="shared" si="50"/>
        <v>800832</v>
      </c>
      <c r="F351" s="12">
        <v>56634</v>
      </c>
      <c r="G351" s="12">
        <v>10102</v>
      </c>
      <c r="H351" s="15">
        <f t="shared" si="51"/>
        <v>28317</v>
      </c>
      <c r="I351" s="15">
        <f t="shared" si="52"/>
        <v>11326.800000000001</v>
      </c>
      <c r="J351" s="15">
        <f t="shared" si="53"/>
        <v>16990.199999999997</v>
      </c>
      <c r="K351" s="15">
        <f t="shared" si="54"/>
        <v>3398.04</v>
      </c>
      <c r="L351" s="12">
        <v>200</v>
      </c>
      <c r="M351" s="12">
        <f t="shared" si="55"/>
        <v>208</v>
      </c>
      <c r="N351" s="15">
        <v>4</v>
      </c>
      <c r="O351" s="15">
        <f t="shared" si="56"/>
        <v>136.13942307692307</v>
      </c>
      <c r="P351" s="15">
        <f t="shared" si="57"/>
        <v>272.27884615384613</v>
      </c>
      <c r="Q351" s="15">
        <f t="shared" si="58"/>
        <v>1089.1153846153845</v>
      </c>
      <c r="R351" s="12">
        <v>63138</v>
      </c>
      <c r="S351" s="15">
        <f t="shared" si="59"/>
        <v>73240</v>
      </c>
      <c r="T351" s="20">
        <f>S351/median_percentile!$B$1</f>
        <v>1.4532178537059635</v>
      </c>
      <c r="U351" s="24" t="str" cm="1">
        <f t="array" ref="U351">_xlfn.IFS(T351&lt;1,"underpaid",T351&gt;1,"overpaid",T351=1,"median pay")</f>
        <v>overpaid</v>
      </c>
      <c r="V351" s="5"/>
    </row>
    <row r="352" spans="1:22" x14ac:dyDescent="0.3">
      <c r="A352" s="21" t="s">
        <v>363</v>
      </c>
      <c r="B352" s="8" t="s">
        <v>1362</v>
      </c>
      <c r="C352" s="8" t="s">
        <v>2013</v>
      </c>
      <c r="D352" s="9">
        <v>45278</v>
      </c>
      <c r="E352" s="10">
        <f t="shared" si="50"/>
        <v>784956</v>
      </c>
      <c r="F352" s="8">
        <v>55398</v>
      </c>
      <c r="G352" s="8">
        <v>10015</v>
      </c>
      <c r="H352" s="11">
        <f t="shared" si="51"/>
        <v>27699</v>
      </c>
      <c r="I352" s="11">
        <f t="shared" si="52"/>
        <v>11079.6</v>
      </c>
      <c r="J352" s="11">
        <f t="shared" si="53"/>
        <v>16619.400000000001</v>
      </c>
      <c r="K352" s="11">
        <f t="shared" si="54"/>
        <v>3323.8799999999997</v>
      </c>
      <c r="L352" s="8">
        <v>200</v>
      </c>
      <c r="M352" s="8">
        <f t="shared" si="55"/>
        <v>208</v>
      </c>
      <c r="N352" s="11">
        <v>3</v>
      </c>
      <c r="O352" s="11">
        <f t="shared" si="56"/>
        <v>133.16826923076923</v>
      </c>
      <c r="P352" s="11">
        <f t="shared" si="57"/>
        <v>266.33653846153845</v>
      </c>
      <c r="Q352" s="11">
        <f t="shared" si="58"/>
        <v>799.00961538461536</v>
      </c>
      <c r="R352" s="8">
        <v>61890</v>
      </c>
      <c r="S352" s="11">
        <f t="shared" si="59"/>
        <v>71905</v>
      </c>
      <c r="T352" s="20">
        <f>S352/median_percentile!$B$1</f>
        <v>1.4267289701082373</v>
      </c>
      <c r="U352" s="24" t="str" cm="1">
        <f t="array" ref="U352">_xlfn.IFS(T352&lt;1,"underpaid",T352&gt;1,"overpaid",T352=1,"median pay")</f>
        <v>overpaid</v>
      </c>
      <c r="V352" s="5"/>
    </row>
    <row r="353" spans="1:22" x14ac:dyDescent="0.3">
      <c r="A353" s="22" t="s">
        <v>364</v>
      </c>
      <c r="B353" s="12" t="s">
        <v>1363</v>
      </c>
      <c r="C353" s="12" t="s">
        <v>2011</v>
      </c>
      <c r="D353" s="13">
        <v>44779</v>
      </c>
      <c r="E353" s="14">
        <f t="shared" si="50"/>
        <v>450888</v>
      </c>
      <c r="F353" s="12">
        <v>32139</v>
      </c>
      <c r="G353" s="12">
        <v>5435</v>
      </c>
      <c r="H353" s="15">
        <f t="shared" si="51"/>
        <v>16069.5</v>
      </c>
      <c r="I353" s="15">
        <f t="shared" si="52"/>
        <v>6427.8</v>
      </c>
      <c r="J353" s="15">
        <f t="shared" si="53"/>
        <v>9641.7000000000007</v>
      </c>
      <c r="K353" s="15">
        <f t="shared" si="54"/>
        <v>1928.34</v>
      </c>
      <c r="L353" s="12">
        <v>200</v>
      </c>
      <c r="M353" s="12">
        <f t="shared" si="55"/>
        <v>208</v>
      </c>
      <c r="N353" s="15">
        <v>1</v>
      </c>
      <c r="O353" s="15">
        <f t="shared" si="56"/>
        <v>77.257211538461533</v>
      </c>
      <c r="P353" s="15">
        <f t="shared" si="57"/>
        <v>154.51442307692307</v>
      </c>
      <c r="Q353" s="15">
        <f t="shared" si="58"/>
        <v>154.51442307692307</v>
      </c>
      <c r="R353" s="12">
        <v>35446</v>
      </c>
      <c r="S353" s="15">
        <f t="shared" si="59"/>
        <v>40881</v>
      </c>
      <c r="T353" s="20">
        <f>S353/median_percentile!$B$1</f>
        <v>0.81115509390160423</v>
      </c>
      <c r="U353" s="24" t="str" cm="1">
        <f t="array" ref="U353">_xlfn.IFS(T353&lt;1,"underpaid",T353&gt;1,"overpaid",T353=1,"median pay")</f>
        <v>underpaid</v>
      </c>
      <c r="V353" s="5"/>
    </row>
    <row r="354" spans="1:22" x14ac:dyDescent="0.3">
      <c r="A354" s="21" t="s">
        <v>365</v>
      </c>
      <c r="B354" s="8" t="s">
        <v>1364</v>
      </c>
      <c r="C354" s="8" t="s">
        <v>2011</v>
      </c>
      <c r="D354" s="9">
        <v>45960</v>
      </c>
      <c r="E354" s="10">
        <f t="shared" si="50"/>
        <v>539340</v>
      </c>
      <c r="F354" s="8">
        <v>39986</v>
      </c>
      <c r="G354" s="8">
        <v>4959</v>
      </c>
      <c r="H354" s="11">
        <f t="shared" si="51"/>
        <v>19993</v>
      </c>
      <c r="I354" s="11">
        <f t="shared" si="52"/>
        <v>7997.2000000000007</v>
      </c>
      <c r="J354" s="11">
        <f t="shared" si="53"/>
        <v>11995.8</v>
      </c>
      <c r="K354" s="11">
        <f t="shared" si="54"/>
        <v>2399.16</v>
      </c>
      <c r="L354" s="8">
        <v>200</v>
      </c>
      <c r="M354" s="8">
        <f t="shared" si="55"/>
        <v>208</v>
      </c>
      <c r="N354" s="11">
        <v>2</v>
      </c>
      <c r="O354" s="11">
        <f t="shared" si="56"/>
        <v>96.120192307692307</v>
      </c>
      <c r="P354" s="11">
        <f t="shared" si="57"/>
        <v>192.24038461538461</v>
      </c>
      <c r="Q354" s="11">
        <f t="shared" si="58"/>
        <v>384.48076923076923</v>
      </c>
      <c r="R354" s="8">
        <v>42346</v>
      </c>
      <c r="S354" s="11">
        <f t="shared" si="59"/>
        <v>47305</v>
      </c>
      <c r="T354" s="20">
        <f>S354/median_percentile!$B$1</f>
        <v>0.93861920493665485</v>
      </c>
      <c r="U354" s="24" t="str" cm="1">
        <f t="array" ref="U354">_xlfn.IFS(T354&lt;1,"underpaid",T354&gt;1,"overpaid",T354=1,"median pay")</f>
        <v>underpaid</v>
      </c>
      <c r="V354" s="5"/>
    </row>
    <row r="355" spans="1:22" x14ac:dyDescent="0.3">
      <c r="A355" s="22" t="s">
        <v>366</v>
      </c>
      <c r="B355" s="12" t="s">
        <v>1365</v>
      </c>
      <c r="C355" s="12" t="s">
        <v>2011</v>
      </c>
      <c r="D355" s="13">
        <v>43595</v>
      </c>
      <c r="E355" s="14">
        <f t="shared" si="50"/>
        <v>397584</v>
      </c>
      <c r="F355" s="12">
        <v>27985</v>
      </c>
      <c r="G355" s="12">
        <v>5147</v>
      </c>
      <c r="H355" s="15">
        <f t="shared" si="51"/>
        <v>13992.5</v>
      </c>
      <c r="I355" s="15">
        <f t="shared" si="52"/>
        <v>5597</v>
      </c>
      <c r="J355" s="15">
        <f t="shared" si="53"/>
        <v>8395.5</v>
      </c>
      <c r="K355" s="15">
        <f t="shared" si="54"/>
        <v>1679.1</v>
      </c>
      <c r="L355" s="12">
        <v>200</v>
      </c>
      <c r="M355" s="12">
        <f t="shared" si="55"/>
        <v>208</v>
      </c>
      <c r="N355" s="15">
        <v>5</v>
      </c>
      <c r="O355" s="15">
        <f t="shared" si="56"/>
        <v>67.271634615384613</v>
      </c>
      <c r="P355" s="15">
        <f t="shared" si="57"/>
        <v>134.54326923076923</v>
      </c>
      <c r="Q355" s="15">
        <f t="shared" si="58"/>
        <v>672.71634615384619</v>
      </c>
      <c r="R355" s="12">
        <v>31253</v>
      </c>
      <c r="S355" s="15">
        <f t="shared" si="59"/>
        <v>36400</v>
      </c>
      <c r="T355" s="20">
        <f>S355/median_percentile!$B$1</f>
        <v>0.7222437175709594</v>
      </c>
      <c r="U355" s="24" t="str" cm="1">
        <f t="array" ref="U355">_xlfn.IFS(T355&lt;1,"underpaid",T355&gt;1,"overpaid",T355=1,"median pay")</f>
        <v>underpaid</v>
      </c>
      <c r="V355" s="5"/>
    </row>
    <row r="356" spans="1:22" x14ac:dyDescent="0.3">
      <c r="A356" s="21" t="s">
        <v>367</v>
      </c>
      <c r="B356" s="8" t="s">
        <v>1366</v>
      </c>
      <c r="C356" s="8" t="s">
        <v>2012</v>
      </c>
      <c r="D356" s="9">
        <v>44992</v>
      </c>
      <c r="E356" s="10">
        <f t="shared" si="50"/>
        <v>576672</v>
      </c>
      <c r="F356" s="8">
        <v>42093</v>
      </c>
      <c r="G356" s="8">
        <v>5963</v>
      </c>
      <c r="H356" s="11">
        <f t="shared" si="51"/>
        <v>21046.5</v>
      </c>
      <c r="I356" s="11">
        <f t="shared" si="52"/>
        <v>8418.6</v>
      </c>
      <c r="J356" s="11">
        <f t="shared" si="53"/>
        <v>12627.900000000001</v>
      </c>
      <c r="K356" s="11">
        <f t="shared" si="54"/>
        <v>2525.58</v>
      </c>
      <c r="L356" s="8">
        <v>200</v>
      </c>
      <c r="M356" s="8">
        <f t="shared" si="55"/>
        <v>208</v>
      </c>
      <c r="N356" s="11">
        <v>2</v>
      </c>
      <c r="O356" s="11">
        <f t="shared" si="56"/>
        <v>101.18509615384616</v>
      </c>
      <c r="P356" s="11">
        <f t="shared" si="57"/>
        <v>202.37019230769232</v>
      </c>
      <c r="Q356" s="11">
        <f t="shared" si="58"/>
        <v>404.74038461538464</v>
      </c>
      <c r="R356" s="8">
        <v>45331</v>
      </c>
      <c r="S356" s="11">
        <f t="shared" si="59"/>
        <v>51294</v>
      </c>
      <c r="T356" s="20">
        <f>S356/median_percentile!$B$1</f>
        <v>1.017768385963868</v>
      </c>
      <c r="U356" s="24" t="str" cm="1">
        <f t="array" ref="U356">_xlfn.IFS(T356&lt;1,"underpaid",T356&gt;1,"overpaid",T356=1,"median pay")</f>
        <v>overpaid</v>
      </c>
      <c r="V356" s="5"/>
    </row>
    <row r="357" spans="1:22" x14ac:dyDescent="0.3">
      <c r="A357" s="22" t="s">
        <v>368</v>
      </c>
      <c r="B357" s="12" t="s">
        <v>1367</v>
      </c>
      <c r="C357" s="12" t="s">
        <v>2011</v>
      </c>
      <c r="D357" s="13">
        <v>45166</v>
      </c>
      <c r="E357" s="14">
        <f t="shared" si="50"/>
        <v>597168</v>
      </c>
      <c r="F357" s="12">
        <v>42932</v>
      </c>
      <c r="G357" s="12">
        <v>6832</v>
      </c>
      <c r="H357" s="15">
        <f t="shared" si="51"/>
        <v>21466</v>
      </c>
      <c r="I357" s="15">
        <f t="shared" si="52"/>
        <v>8586.4</v>
      </c>
      <c r="J357" s="15">
        <f t="shared" si="53"/>
        <v>12879.599999999999</v>
      </c>
      <c r="K357" s="15">
        <f t="shared" si="54"/>
        <v>2575.92</v>
      </c>
      <c r="L357" s="12">
        <v>200</v>
      </c>
      <c r="M357" s="12">
        <f t="shared" si="55"/>
        <v>208</v>
      </c>
      <c r="N357" s="15">
        <v>1</v>
      </c>
      <c r="O357" s="15">
        <f t="shared" si="56"/>
        <v>103.20192307692308</v>
      </c>
      <c r="P357" s="15">
        <f t="shared" si="57"/>
        <v>206.40384615384616</v>
      </c>
      <c r="Q357" s="15">
        <f t="shared" si="58"/>
        <v>206.40384615384616</v>
      </c>
      <c r="R357" s="12">
        <v>46989</v>
      </c>
      <c r="S357" s="15">
        <f t="shared" si="59"/>
        <v>53821</v>
      </c>
      <c r="T357" s="20">
        <f>S357/median_percentile!$B$1</f>
        <v>1.0679087671260057</v>
      </c>
      <c r="U357" s="24" t="str" cm="1">
        <f t="array" ref="U357">_xlfn.IFS(T357&lt;1,"underpaid",T357&gt;1,"overpaid",T357=1,"median pay")</f>
        <v>overpaid</v>
      </c>
      <c r="V357" s="5"/>
    </row>
    <row r="358" spans="1:22" x14ac:dyDescent="0.3">
      <c r="A358" s="21" t="s">
        <v>369</v>
      </c>
      <c r="B358" s="8" t="s">
        <v>1368</v>
      </c>
      <c r="C358" s="8" t="s">
        <v>2013</v>
      </c>
      <c r="D358" s="9">
        <v>45103</v>
      </c>
      <c r="E358" s="10">
        <f t="shared" si="50"/>
        <v>721284</v>
      </c>
      <c r="F358" s="8">
        <v>54285</v>
      </c>
      <c r="G358" s="8">
        <v>5822</v>
      </c>
      <c r="H358" s="11">
        <f t="shared" si="51"/>
        <v>27142.5</v>
      </c>
      <c r="I358" s="11">
        <f t="shared" si="52"/>
        <v>10857</v>
      </c>
      <c r="J358" s="11">
        <f t="shared" si="53"/>
        <v>16285.5</v>
      </c>
      <c r="K358" s="11">
        <f t="shared" si="54"/>
        <v>3257.1</v>
      </c>
      <c r="L358" s="8">
        <v>200</v>
      </c>
      <c r="M358" s="8">
        <f t="shared" si="55"/>
        <v>208</v>
      </c>
      <c r="N358" s="11">
        <v>1</v>
      </c>
      <c r="O358" s="11">
        <f t="shared" si="56"/>
        <v>130.49278846153845</v>
      </c>
      <c r="P358" s="11">
        <f t="shared" si="57"/>
        <v>260.98557692307691</v>
      </c>
      <c r="Q358" s="11">
        <f t="shared" si="58"/>
        <v>260.98557692307691</v>
      </c>
      <c r="R358" s="8">
        <v>57102</v>
      </c>
      <c r="S358" s="11">
        <f t="shared" si="59"/>
        <v>62924</v>
      </c>
      <c r="T358" s="20">
        <f>S358/median_percentile!$B$1</f>
        <v>1.2485292220998641</v>
      </c>
      <c r="U358" s="24" t="str" cm="1">
        <f t="array" ref="U358">_xlfn.IFS(T358&lt;1,"underpaid",T358&gt;1,"overpaid",T358=1,"median pay")</f>
        <v>overpaid</v>
      </c>
      <c r="V358" s="5"/>
    </row>
    <row r="359" spans="1:22" x14ac:dyDescent="0.3">
      <c r="A359" s="22" t="s">
        <v>370</v>
      </c>
      <c r="B359" s="12" t="s">
        <v>1369</v>
      </c>
      <c r="C359" s="12" t="s">
        <v>2013</v>
      </c>
      <c r="D359" s="13">
        <v>45825</v>
      </c>
      <c r="E359" s="14">
        <f t="shared" si="50"/>
        <v>814356</v>
      </c>
      <c r="F359" s="12">
        <v>57762</v>
      </c>
      <c r="G359" s="12">
        <v>10101</v>
      </c>
      <c r="H359" s="15">
        <f t="shared" si="51"/>
        <v>28881</v>
      </c>
      <c r="I359" s="15">
        <f t="shared" si="52"/>
        <v>11552.400000000001</v>
      </c>
      <c r="J359" s="15">
        <f t="shared" si="53"/>
        <v>17328.599999999999</v>
      </c>
      <c r="K359" s="15">
        <f t="shared" si="54"/>
        <v>3465.72</v>
      </c>
      <c r="L359" s="12">
        <v>200</v>
      </c>
      <c r="M359" s="12">
        <f t="shared" si="55"/>
        <v>208</v>
      </c>
      <c r="N359" s="15">
        <v>3</v>
      </c>
      <c r="O359" s="15">
        <f t="shared" si="56"/>
        <v>138.85096153846155</v>
      </c>
      <c r="P359" s="15">
        <f t="shared" si="57"/>
        <v>277.70192307692309</v>
      </c>
      <c r="Q359" s="15">
        <f t="shared" si="58"/>
        <v>833.10576923076928</v>
      </c>
      <c r="R359" s="12">
        <v>64198</v>
      </c>
      <c r="S359" s="15">
        <f t="shared" si="59"/>
        <v>74299</v>
      </c>
      <c r="T359" s="20">
        <f>S359/median_percentile!$B$1</f>
        <v>1.4742303838407889</v>
      </c>
      <c r="U359" s="24" t="str" cm="1">
        <f t="array" ref="U359">_xlfn.IFS(T359&lt;1,"underpaid",T359&gt;1,"overpaid",T359=1,"median pay")</f>
        <v>overpaid</v>
      </c>
      <c r="V359" s="5"/>
    </row>
    <row r="360" spans="1:22" x14ac:dyDescent="0.3">
      <c r="A360" s="21" t="s">
        <v>371</v>
      </c>
      <c r="B360" s="8" t="s">
        <v>1370</v>
      </c>
      <c r="C360" s="8" t="s">
        <v>2014</v>
      </c>
      <c r="D360" s="9">
        <v>45488</v>
      </c>
      <c r="E360" s="10">
        <f t="shared" si="50"/>
        <v>559608</v>
      </c>
      <c r="F360" s="8">
        <v>39834</v>
      </c>
      <c r="G360" s="8">
        <v>6800</v>
      </c>
      <c r="H360" s="11">
        <f t="shared" si="51"/>
        <v>19917</v>
      </c>
      <c r="I360" s="11">
        <f t="shared" si="52"/>
        <v>7966.8</v>
      </c>
      <c r="J360" s="11">
        <f t="shared" si="53"/>
        <v>11950.2</v>
      </c>
      <c r="K360" s="11">
        <f t="shared" si="54"/>
        <v>2390.04</v>
      </c>
      <c r="L360" s="8">
        <v>200</v>
      </c>
      <c r="M360" s="8">
        <f t="shared" si="55"/>
        <v>208</v>
      </c>
      <c r="N360" s="11">
        <v>5</v>
      </c>
      <c r="O360" s="11">
        <f t="shared" si="56"/>
        <v>95.754807692307693</v>
      </c>
      <c r="P360" s="11">
        <f t="shared" si="57"/>
        <v>191.50961538461539</v>
      </c>
      <c r="Q360" s="11">
        <f t="shared" si="58"/>
        <v>957.54807692307691</v>
      </c>
      <c r="R360" s="8">
        <v>44044</v>
      </c>
      <c r="S360" s="11">
        <f t="shared" si="59"/>
        <v>50844</v>
      </c>
      <c r="T360" s="20">
        <f>S360/median_percentile!$B$1</f>
        <v>1.0088395487960951</v>
      </c>
      <c r="U360" s="24" t="str" cm="1">
        <f t="array" ref="U360">_xlfn.IFS(T360&lt;1,"underpaid",T360&gt;1,"overpaid",T360=1,"median pay")</f>
        <v>overpaid</v>
      </c>
      <c r="V360" s="5"/>
    </row>
    <row r="361" spans="1:22" x14ac:dyDescent="0.3">
      <c r="A361" s="22" t="s">
        <v>372</v>
      </c>
      <c r="B361" s="12" t="s">
        <v>1371</v>
      </c>
      <c r="C361" s="12" t="s">
        <v>2012</v>
      </c>
      <c r="D361" s="13">
        <v>43922</v>
      </c>
      <c r="E361" s="14">
        <f t="shared" si="50"/>
        <v>669540</v>
      </c>
      <c r="F361" s="12">
        <v>49196</v>
      </c>
      <c r="G361" s="12">
        <v>6599</v>
      </c>
      <c r="H361" s="15">
        <f t="shared" si="51"/>
        <v>24598</v>
      </c>
      <c r="I361" s="15">
        <f t="shared" si="52"/>
        <v>9839.2000000000007</v>
      </c>
      <c r="J361" s="15">
        <f t="shared" si="53"/>
        <v>14758.800000000003</v>
      </c>
      <c r="K361" s="15">
        <f t="shared" si="54"/>
        <v>2951.7599999999998</v>
      </c>
      <c r="L361" s="12">
        <v>200</v>
      </c>
      <c r="M361" s="12">
        <f t="shared" si="55"/>
        <v>208</v>
      </c>
      <c r="N361" s="15">
        <v>0</v>
      </c>
      <c r="O361" s="15">
        <f t="shared" si="56"/>
        <v>118.25961538461539</v>
      </c>
      <c r="P361" s="15">
        <f t="shared" si="57"/>
        <v>236.51923076923077</v>
      </c>
      <c r="Q361" s="15">
        <f t="shared" si="58"/>
        <v>0</v>
      </c>
      <c r="R361" s="12">
        <v>53463</v>
      </c>
      <c r="S361" s="15">
        <f t="shared" si="59"/>
        <v>60062</v>
      </c>
      <c r="T361" s="20">
        <f>S361/median_percentile!$B$1</f>
        <v>1.1917418177128287</v>
      </c>
      <c r="U361" s="24" t="str" cm="1">
        <f t="array" ref="U361">_xlfn.IFS(T361&lt;1,"underpaid",T361&gt;1,"overpaid",T361=1,"median pay")</f>
        <v>overpaid</v>
      </c>
      <c r="V361" s="5"/>
    </row>
    <row r="362" spans="1:22" x14ac:dyDescent="0.3">
      <c r="A362" s="21" t="s">
        <v>373</v>
      </c>
      <c r="B362" s="8" t="s">
        <v>1372</v>
      </c>
      <c r="C362" s="8" t="s">
        <v>2014</v>
      </c>
      <c r="D362" s="9">
        <v>44538</v>
      </c>
      <c r="E362" s="10">
        <f t="shared" si="50"/>
        <v>510048</v>
      </c>
      <c r="F362" s="8">
        <v>35577</v>
      </c>
      <c r="G362" s="8">
        <v>6927</v>
      </c>
      <c r="H362" s="11">
        <f t="shared" si="51"/>
        <v>17788.5</v>
      </c>
      <c r="I362" s="11">
        <f t="shared" si="52"/>
        <v>7115.4000000000005</v>
      </c>
      <c r="J362" s="11">
        <f t="shared" si="53"/>
        <v>10673.099999999999</v>
      </c>
      <c r="K362" s="11">
        <f t="shared" si="54"/>
        <v>2134.62</v>
      </c>
      <c r="L362" s="8">
        <v>200</v>
      </c>
      <c r="M362" s="8">
        <f t="shared" si="55"/>
        <v>208</v>
      </c>
      <c r="N362" s="11">
        <v>0</v>
      </c>
      <c r="O362" s="11">
        <f t="shared" si="56"/>
        <v>85.521634615384613</v>
      </c>
      <c r="P362" s="11">
        <f t="shared" si="57"/>
        <v>171.04326923076923</v>
      </c>
      <c r="Q362" s="11">
        <f t="shared" si="58"/>
        <v>0</v>
      </c>
      <c r="R362" s="8">
        <v>40466</v>
      </c>
      <c r="S362" s="11">
        <f t="shared" si="59"/>
        <v>47393</v>
      </c>
      <c r="T362" s="20">
        <f>S362/median_percentile!$B$1</f>
        <v>0.94036528864946378</v>
      </c>
      <c r="U362" s="24" t="str" cm="1">
        <f t="array" ref="U362">_xlfn.IFS(T362&lt;1,"underpaid",T362&gt;1,"overpaid",T362=1,"median pay")</f>
        <v>underpaid</v>
      </c>
      <c r="V362" s="5"/>
    </row>
    <row r="363" spans="1:22" x14ac:dyDescent="0.3">
      <c r="A363" s="22" t="s">
        <v>374</v>
      </c>
      <c r="B363" s="12" t="s">
        <v>1373</v>
      </c>
      <c r="C363" s="12" t="s">
        <v>2016</v>
      </c>
      <c r="D363" s="13">
        <v>44153</v>
      </c>
      <c r="E363" s="14">
        <f t="shared" si="50"/>
        <v>390984</v>
      </c>
      <c r="F363" s="12">
        <v>27309</v>
      </c>
      <c r="G363" s="12">
        <v>5273</v>
      </c>
      <c r="H363" s="15">
        <f t="shared" si="51"/>
        <v>13654.5</v>
      </c>
      <c r="I363" s="15">
        <f t="shared" si="52"/>
        <v>5461.8</v>
      </c>
      <c r="J363" s="15">
        <f t="shared" si="53"/>
        <v>8192.7000000000007</v>
      </c>
      <c r="K363" s="15">
        <f t="shared" si="54"/>
        <v>1638.54</v>
      </c>
      <c r="L363" s="12">
        <v>200</v>
      </c>
      <c r="M363" s="12">
        <f t="shared" si="55"/>
        <v>208</v>
      </c>
      <c r="N363" s="15">
        <v>4</v>
      </c>
      <c r="O363" s="15">
        <f t="shared" si="56"/>
        <v>65.646634615384613</v>
      </c>
      <c r="P363" s="15">
        <f t="shared" si="57"/>
        <v>131.29326923076923</v>
      </c>
      <c r="Q363" s="15">
        <f t="shared" si="58"/>
        <v>525.17307692307691</v>
      </c>
      <c r="R363" s="12">
        <v>30971</v>
      </c>
      <c r="S363" s="15">
        <f t="shared" si="59"/>
        <v>36244</v>
      </c>
      <c r="T363" s="20">
        <f>S363/median_percentile!$B$1</f>
        <v>0.71914838735279818</v>
      </c>
      <c r="U363" s="24" t="str" cm="1">
        <f t="array" ref="U363">_xlfn.IFS(T363&lt;1,"underpaid",T363&gt;1,"overpaid",T363=1,"median pay")</f>
        <v>underpaid</v>
      </c>
      <c r="V363" s="5"/>
    </row>
    <row r="364" spans="1:22" x14ac:dyDescent="0.3">
      <c r="A364" s="21" t="s">
        <v>375</v>
      </c>
      <c r="B364" s="8" t="s">
        <v>1374</v>
      </c>
      <c r="C364" s="8" t="s">
        <v>2012</v>
      </c>
      <c r="D364" s="9">
        <v>45134</v>
      </c>
      <c r="E364" s="10">
        <f t="shared" si="50"/>
        <v>672780</v>
      </c>
      <c r="F364" s="8">
        <v>49288</v>
      </c>
      <c r="G364" s="8">
        <v>6777</v>
      </c>
      <c r="H364" s="11">
        <f t="shared" si="51"/>
        <v>24644</v>
      </c>
      <c r="I364" s="11">
        <f t="shared" si="52"/>
        <v>9857.6</v>
      </c>
      <c r="J364" s="11">
        <f t="shared" si="53"/>
        <v>14786.400000000001</v>
      </c>
      <c r="K364" s="11">
        <f t="shared" si="54"/>
        <v>2957.2799999999997</v>
      </c>
      <c r="L364" s="8">
        <v>200</v>
      </c>
      <c r="M364" s="8">
        <f t="shared" si="55"/>
        <v>208</v>
      </c>
      <c r="N364" s="11">
        <v>5</v>
      </c>
      <c r="O364" s="11">
        <f t="shared" si="56"/>
        <v>118.48076923076923</v>
      </c>
      <c r="P364" s="11">
        <f t="shared" si="57"/>
        <v>236.96153846153845</v>
      </c>
      <c r="Q364" s="11">
        <f t="shared" si="58"/>
        <v>1184.8076923076924</v>
      </c>
      <c r="R364" s="8">
        <v>52908</v>
      </c>
      <c r="S364" s="11">
        <f t="shared" si="59"/>
        <v>59685</v>
      </c>
      <c r="T364" s="20">
        <f>S364/median_percentile!$B$1</f>
        <v>1.1842614363522723</v>
      </c>
      <c r="U364" s="24" t="str" cm="1">
        <f t="array" ref="U364">_xlfn.IFS(T364&lt;1,"underpaid",T364&gt;1,"overpaid",T364=1,"median pay")</f>
        <v>overpaid</v>
      </c>
      <c r="V364" s="5"/>
    </row>
    <row r="365" spans="1:22" x14ac:dyDescent="0.3">
      <c r="A365" s="22" t="s">
        <v>376</v>
      </c>
      <c r="B365" s="12" t="s">
        <v>1375</v>
      </c>
      <c r="C365" s="12" t="s">
        <v>2013</v>
      </c>
      <c r="D365" s="13">
        <v>44305</v>
      </c>
      <c r="E365" s="14">
        <f t="shared" si="50"/>
        <v>723588</v>
      </c>
      <c r="F365" s="12">
        <v>51016</v>
      </c>
      <c r="G365" s="12">
        <v>9283</v>
      </c>
      <c r="H365" s="15">
        <f t="shared" si="51"/>
        <v>25508</v>
      </c>
      <c r="I365" s="15">
        <f t="shared" si="52"/>
        <v>10203.200000000001</v>
      </c>
      <c r="J365" s="15">
        <f t="shared" si="53"/>
        <v>15304.800000000003</v>
      </c>
      <c r="K365" s="15">
        <f t="shared" si="54"/>
        <v>3060.96</v>
      </c>
      <c r="L365" s="12">
        <v>200</v>
      </c>
      <c r="M365" s="12">
        <f t="shared" si="55"/>
        <v>208</v>
      </c>
      <c r="N365" s="15">
        <v>2</v>
      </c>
      <c r="O365" s="15">
        <f t="shared" si="56"/>
        <v>122.63461538461539</v>
      </c>
      <c r="P365" s="15">
        <f t="shared" si="57"/>
        <v>245.26923076923077</v>
      </c>
      <c r="Q365" s="15">
        <f t="shared" si="58"/>
        <v>490.53846153846155</v>
      </c>
      <c r="R365" s="12">
        <v>57464</v>
      </c>
      <c r="S365" s="15">
        <f t="shared" si="59"/>
        <v>66747</v>
      </c>
      <c r="T365" s="20">
        <f>S365/median_percentile!$B$1</f>
        <v>1.3243846543051876</v>
      </c>
      <c r="U365" s="24" t="str" cm="1">
        <f t="array" ref="U365">_xlfn.IFS(T365&lt;1,"underpaid",T365&gt;1,"overpaid",T365=1,"median pay")</f>
        <v>overpaid</v>
      </c>
      <c r="V365" s="5"/>
    </row>
    <row r="366" spans="1:22" x14ac:dyDescent="0.3">
      <c r="A366" s="21" t="s">
        <v>377</v>
      </c>
      <c r="B366" s="8" t="s">
        <v>1376</v>
      </c>
      <c r="C366" s="8" t="s">
        <v>2011</v>
      </c>
      <c r="D366" s="9">
        <v>45663</v>
      </c>
      <c r="E366" s="10">
        <f t="shared" si="50"/>
        <v>340260</v>
      </c>
      <c r="F366" s="8">
        <v>25559</v>
      </c>
      <c r="G366" s="8">
        <v>2796</v>
      </c>
      <c r="H366" s="11">
        <f t="shared" si="51"/>
        <v>12779.5</v>
      </c>
      <c r="I366" s="11">
        <f t="shared" si="52"/>
        <v>5111.8</v>
      </c>
      <c r="J366" s="11">
        <f t="shared" si="53"/>
        <v>7667.7000000000007</v>
      </c>
      <c r="K366" s="11">
        <f t="shared" si="54"/>
        <v>1533.54</v>
      </c>
      <c r="L366" s="8">
        <v>200</v>
      </c>
      <c r="M366" s="8">
        <f t="shared" si="55"/>
        <v>208</v>
      </c>
      <c r="N366" s="11">
        <v>5</v>
      </c>
      <c r="O366" s="11">
        <f t="shared" si="56"/>
        <v>61.439903846153847</v>
      </c>
      <c r="P366" s="11">
        <f t="shared" si="57"/>
        <v>122.87980769230769</v>
      </c>
      <c r="Q366" s="11">
        <f t="shared" si="58"/>
        <v>614.39903846153845</v>
      </c>
      <c r="R366" s="8">
        <v>26834</v>
      </c>
      <c r="S366" s="11">
        <f t="shared" si="59"/>
        <v>29630</v>
      </c>
      <c r="T366" s="20">
        <f>S366/median_percentile!$B$1</f>
        <v>0.58791432284691014</v>
      </c>
      <c r="U366" s="24" t="str" cm="1">
        <f t="array" ref="U366">_xlfn.IFS(T366&lt;1,"underpaid",T366&gt;1,"overpaid",T366=1,"median pay")</f>
        <v>underpaid</v>
      </c>
      <c r="V366" s="5"/>
    </row>
    <row r="367" spans="1:22" x14ac:dyDescent="0.3">
      <c r="A367" s="22" t="s">
        <v>378</v>
      </c>
      <c r="B367" s="12" t="s">
        <v>1377</v>
      </c>
      <c r="C367" s="12" t="s">
        <v>2014</v>
      </c>
      <c r="D367" s="13">
        <v>45416</v>
      </c>
      <c r="E367" s="14">
        <f t="shared" si="50"/>
        <v>595044</v>
      </c>
      <c r="F367" s="12">
        <v>44648</v>
      </c>
      <c r="G367" s="12">
        <v>4939</v>
      </c>
      <c r="H367" s="15">
        <f t="shared" si="51"/>
        <v>22324</v>
      </c>
      <c r="I367" s="15">
        <f t="shared" si="52"/>
        <v>8929.6</v>
      </c>
      <c r="J367" s="15">
        <f t="shared" si="53"/>
        <v>13394.400000000001</v>
      </c>
      <c r="K367" s="15">
        <f t="shared" si="54"/>
        <v>2678.88</v>
      </c>
      <c r="L367" s="12">
        <v>200</v>
      </c>
      <c r="M367" s="12">
        <f t="shared" si="55"/>
        <v>208</v>
      </c>
      <c r="N367" s="15">
        <v>1</v>
      </c>
      <c r="O367" s="15">
        <f t="shared" si="56"/>
        <v>107.32692307692308</v>
      </c>
      <c r="P367" s="15">
        <f t="shared" si="57"/>
        <v>214.65384615384616</v>
      </c>
      <c r="Q367" s="15">
        <f t="shared" si="58"/>
        <v>214.65384615384616</v>
      </c>
      <c r="R367" s="12">
        <v>47081</v>
      </c>
      <c r="S367" s="15">
        <f t="shared" si="59"/>
        <v>52020</v>
      </c>
      <c r="T367" s="20">
        <f>S367/median_percentile!$B$1</f>
        <v>1.0321735765945415</v>
      </c>
      <c r="U367" s="24" t="str" cm="1">
        <f t="array" ref="U367">_xlfn.IFS(T367&lt;1,"underpaid",T367&gt;1,"overpaid",T367=1,"median pay")</f>
        <v>overpaid</v>
      </c>
      <c r="V367" s="5"/>
    </row>
    <row r="368" spans="1:22" x14ac:dyDescent="0.3">
      <c r="A368" s="21" t="s">
        <v>379</v>
      </c>
      <c r="B368" s="8" t="s">
        <v>1378</v>
      </c>
      <c r="C368" s="8" t="s">
        <v>2013</v>
      </c>
      <c r="D368" s="9">
        <v>45309</v>
      </c>
      <c r="E368" s="10">
        <f t="shared" si="50"/>
        <v>841356</v>
      </c>
      <c r="F368" s="8">
        <v>59553</v>
      </c>
      <c r="G368" s="8">
        <v>10560</v>
      </c>
      <c r="H368" s="11">
        <f t="shared" si="51"/>
        <v>29776.5</v>
      </c>
      <c r="I368" s="11">
        <f t="shared" si="52"/>
        <v>11910.6</v>
      </c>
      <c r="J368" s="11">
        <f t="shared" si="53"/>
        <v>17865.900000000001</v>
      </c>
      <c r="K368" s="11">
        <f t="shared" si="54"/>
        <v>3573.18</v>
      </c>
      <c r="L368" s="8">
        <v>200</v>
      </c>
      <c r="M368" s="8">
        <f t="shared" si="55"/>
        <v>208</v>
      </c>
      <c r="N368" s="11">
        <v>3</v>
      </c>
      <c r="O368" s="11">
        <f t="shared" si="56"/>
        <v>143.15625</v>
      </c>
      <c r="P368" s="11">
        <f t="shared" si="57"/>
        <v>286.3125</v>
      </c>
      <c r="Q368" s="11">
        <f t="shared" si="58"/>
        <v>858.9375</v>
      </c>
      <c r="R368" s="8">
        <v>67332</v>
      </c>
      <c r="S368" s="11">
        <f t="shared" si="59"/>
        <v>77892</v>
      </c>
      <c r="T368" s="20">
        <f>S368/median_percentile!$B$1</f>
        <v>1.545522188160362</v>
      </c>
      <c r="U368" s="24" t="str" cm="1">
        <f t="array" ref="U368">_xlfn.IFS(T368&lt;1,"underpaid",T368&gt;1,"overpaid",T368=1,"median pay")</f>
        <v>overpaid</v>
      </c>
      <c r="V368" s="5"/>
    </row>
    <row r="369" spans="1:22" x14ac:dyDescent="0.3">
      <c r="A369" s="22" t="s">
        <v>380</v>
      </c>
      <c r="B369" s="12" t="s">
        <v>1379</v>
      </c>
      <c r="C369" s="12" t="s">
        <v>2015</v>
      </c>
      <c r="D369" s="13">
        <v>44802</v>
      </c>
      <c r="E369" s="14">
        <f t="shared" si="50"/>
        <v>708660</v>
      </c>
      <c r="F369" s="12">
        <v>52409</v>
      </c>
      <c r="G369" s="12">
        <v>6646</v>
      </c>
      <c r="H369" s="15">
        <f t="shared" si="51"/>
        <v>26204.5</v>
      </c>
      <c r="I369" s="15">
        <f t="shared" si="52"/>
        <v>10481.800000000001</v>
      </c>
      <c r="J369" s="15">
        <f t="shared" si="53"/>
        <v>15722.699999999997</v>
      </c>
      <c r="K369" s="15">
        <f t="shared" si="54"/>
        <v>3144.54</v>
      </c>
      <c r="L369" s="12">
        <v>200</v>
      </c>
      <c r="M369" s="12">
        <f t="shared" si="55"/>
        <v>208</v>
      </c>
      <c r="N369" s="15">
        <v>0</v>
      </c>
      <c r="O369" s="15">
        <f t="shared" si="56"/>
        <v>125.98317307692308</v>
      </c>
      <c r="P369" s="15">
        <f t="shared" si="57"/>
        <v>251.96634615384616</v>
      </c>
      <c r="Q369" s="15">
        <f t="shared" si="58"/>
        <v>0</v>
      </c>
      <c r="R369" s="12">
        <v>55711</v>
      </c>
      <c r="S369" s="15">
        <f t="shared" si="59"/>
        <v>62357</v>
      </c>
      <c r="T369" s="20">
        <f>S369/median_percentile!$B$1</f>
        <v>1.2372788872684704</v>
      </c>
      <c r="U369" s="24" t="str" cm="1">
        <f t="array" ref="U369">_xlfn.IFS(T369&lt;1,"underpaid",T369&gt;1,"overpaid",T369=1,"median pay")</f>
        <v>overpaid</v>
      </c>
      <c r="V369" s="5"/>
    </row>
    <row r="370" spans="1:22" x14ac:dyDescent="0.3">
      <c r="A370" s="21" t="s">
        <v>381</v>
      </c>
      <c r="B370" s="8" t="s">
        <v>1380</v>
      </c>
      <c r="C370" s="8" t="s">
        <v>2016</v>
      </c>
      <c r="D370" s="9">
        <v>45140</v>
      </c>
      <c r="E370" s="10">
        <f t="shared" si="50"/>
        <v>467328</v>
      </c>
      <c r="F370" s="8">
        <v>34227</v>
      </c>
      <c r="G370" s="8">
        <v>4717</v>
      </c>
      <c r="H370" s="11">
        <f t="shared" si="51"/>
        <v>17113.5</v>
      </c>
      <c r="I370" s="11">
        <f t="shared" si="52"/>
        <v>6845.4000000000005</v>
      </c>
      <c r="J370" s="11">
        <f t="shared" si="53"/>
        <v>10268.099999999999</v>
      </c>
      <c r="K370" s="11">
        <f t="shared" si="54"/>
        <v>2053.62</v>
      </c>
      <c r="L370" s="8">
        <v>200</v>
      </c>
      <c r="M370" s="8">
        <f t="shared" si="55"/>
        <v>208</v>
      </c>
      <c r="N370" s="11">
        <v>0</v>
      </c>
      <c r="O370" s="11">
        <f t="shared" si="56"/>
        <v>82.276442307692307</v>
      </c>
      <c r="P370" s="11">
        <f t="shared" si="57"/>
        <v>164.55288461538461</v>
      </c>
      <c r="Q370" s="11">
        <f t="shared" si="58"/>
        <v>0</v>
      </c>
      <c r="R370" s="8">
        <v>36691</v>
      </c>
      <c r="S370" s="11">
        <f t="shared" si="59"/>
        <v>41408</v>
      </c>
      <c r="T370" s="20">
        <f>S370/median_percentile!$B$1</f>
        <v>0.82161175431808486</v>
      </c>
      <c r="U370" s="24" t="str" cm="1">
        <f t="array" ref="U370">_xlfn.IFS(T370&lt;1,"underpaid",T370&gt;1,"overpaid",T370=1,"median pay")</f>
        <v>underpaid</v>
      </c>
      <c r="V370" s="5"/>
    </row>
    <row r="371" spans="1:22" x14ac:dyDescent="0.3">
      <c r="A371" s="22" t="s">
        <v>382</v>
      </c>
      <c r="B371" s="12" t="s">
        <v>1381</v>
      </c>
      <c r="C371" s="12" t="s">
        <v>2015</v>
      </c>
      <c r="D371" s="13">
        <v>45114</v>
      </c>
      <c r="E371" s="14">
        <f t="shared" si="50"/>
        <v>522540</v>
      </c>
      <c r="F371" s="12">
        <v>39429</v>
      </c>
      <c r="G371" s="12">
        <v>4116</v>
      </c>
      <c r="H371" s="15">
        <f t="shared" si="51"/>
        <v>19714.5</v>
      </c>
      <c r="I371" s="15">
        <f t="shared" si="52"/>
        <v>7885.8</v>
      </c>
      <c r="J371" s="15">
        <f t="shared" si="53"/>
        <v>11828.7</v>
      </c>
      <c r="K371" s="15">
        <f t="shared" si="54"/>
        <v>2365.7399999999998</v>
      </c>
      <c r="L371" s="12">
        <v>200</v>
      </c>
      <c r="M371" s="12">
        <f t="shared" si="55"/>
        <v>208</v>
      </c>
      <c r="N371" s="15">
        <v>3</v>
      </c>
      <c r="O371" s="15">
        <f t="shared" si="56"/>
        <v>94.78125</v>
      </c>
      <c r="P371" s="15">
        <f t="shared" si="57"/>
        <v>189.5625</v>
      </c>
      <c r="Q371" s="15">
        <f t="shared" si="58"/>
        <v>568.6875</v>
      </c>
      <c r="R371" s="12">
        <v>41637</v>
      </c>
      <c r="S371" s="15">
        <f t="shared" si="59"/>
        <v>45753</v>
      </c>
      <c r="T371" s="20">
        <f>S371/median_percentile!$B$1</f>
        <v>0.9078246376380249</v>
      </c>
      <c r="U371" s="24" t="str" cm="1">
        <f t="array" ref="U371">_xlfn.IFS(T371&lt;1,"underpaid",T371&gt;1,"overpaid",T371=1,"median pay")</f>
        <v>underpaid</v>
      </c>
      <c r="V371" s="5"/>
    </row>
    <row r="372" spans="1:22" x14ac:dyDescent="0.3">
      <c r="A372" s="21" t="s">
        <v>383</v>
      </c>
      <c r="B372" s="8" t="s">
        <v>1382</v>
      </c>
      <c r="C372" s="8" t="s">
        <v>2016</v>
      </c>
      <c r="D372" s="9">
        <v>44176</v>
      </c>
      <c r="E372" s="10">
        <f t="shared" si="50"/>
        <v>677928</v>
      </c>
      <c r="F372" s="8">
        <v>47268</v>
      </c>
      <c r="G372" s="8">
        <v>9226</v>
      </c>
      <c r="H372" s="11">
        <f t="shared" si="51"/>
        <v>23634</v>
      </c>
      <c r="I372" s="11">
        <f t="shared" si="52"/>
        <v>9453.6</v>
      </c>
      <c r="J372" s="11">
        <f t="shared" si="53"/>
        <v>14180.400000000001</v>
      </c>
      <c r="K372" s="11">
        <f t="shared" si="54"/>
        <v>2836.08</v>
      </c>
      <c r="L372" s="8">
        <v>200</v>
      </c>
      <c r="M372" s="8">
        <f t="shared" si="55"/>
        <v>208</v>
      </c>
      <c r="N372" s="11">
        <v>2</v>
      </c>
      <c r="O372" s="11">
        <f t="shared" si="56"/>
        <v>113.625</v>
      </c>
      <c r="P372" s="11">
        <f t="shared" si="57"/>
        <v>227.25</v>
      </c>
      <c r="Q372" s="11">
        <f t="shared" si="58"/>
        <v>454.5</v>
      </c>
      <c r="R372" s="8">
        <v>53458</v>
      </c>
      <c r="S372" s="11">
        <f t="shared" si="59"/>
        <v>62684</v>
      </c>
      <c r="T372" s="20">
        <f>S372/median_percentile!$B$1</f>
        <v>1.2437671756103852</v>
      </c>
      <c r="U372" s="24" t="str" cm="1">
        <f t="array" ref="U372">_xlfn.IFS(T372&lt;1,"underpaid",T372&gt;1,"overpaid",T372=1,"median pay")</f>
        <v>overpaid</v>
      </c>
      <c r="V372" s="5"/>
    </row>
    <row r="373" spans="1:22" x14ac:dyDescent="0.3">
      <c r="A373" s="22" t="s">
        <v>384</v>
      </c>
      <c r="B373" s="12" t="s">
        <v>1383</v>
      </c>
      <c r="C373" s="12" t="s">
        <v>2015</v>
      </c>
      <c r="D373" s="13">
        <v>43700</v>
      </c>
      <c r="E373" s="14">
        <f t="shared" si="50"/>
        <v>374076</v>
      </c>
      <c r="F373" s="12">
        <v>26203</v>
      </c>
      <c r="G373" s="12">
        <v>4970</v>
      </c>
      <c r="H373" s="15">
        <f t="shared" si="51"/>
        <v>13101.5</v>
      </c>
      <c r="I373" s="15">
        <f t="shared" si="52"/>
        <v>5240.6000000000004</v>
      </c>
      <c r="J373" s="15">
        <f t="shared" si="53"/>
        <v>7860.9000000000015</v>
      </c>
      <c r="K373" s="15">
        <f t="shared" si="54"/>
        <v>1572.1799999999998</v>
      </c>
      <c r="L373" s="12">
        <v>200</v>
      </c>
      <c r="M373" s="12">
        <f t="shared" si="55"/>
        <v>208</v>
      </c>
      <c r="N373" s="15">
        <v>3</v>
      </c>
      <c r="O373" s="15">
        <f t="shared" si="56"/>
        <v>62.987980769230766</v>
      </c>
      <c r="P373" s="15">
        <f t="shared" si="57"/>
        <v>125.97596153846153</v>
      </c>
      <c r="Q373" s="15">
        <f t="shared" si="58"/>
        <v>377.92788461538458</v>
      </c>
      <c r="R373" s="12">
        <v>29837</v>
      </c>
      <c r="S373" s="15">
        <f t="shared" si="59"/>
        <v>34807</v>
      </c>
      <c r="T373" s="20">
        <f>S373/median_percentile!$B$1</f>
        <v>0.69063563399704353</v>
      </c>
      <c r="U373" s="24" t="str" cm="1">
        <f t="array" ref="U373">_xlfn.IFS(T373&lt;1,"underpaid",T373&gt;1,"overpaid",T373=1,"median pay")</f>
        <v>underpaid</v>
      </c>
      <c r="V373" s="5"/>
    </row>
    <row r="374" spans="1:22" x14ac:dyDescent="0.3">
      <c r="A374" s="21" t="s">
        <v>385</v>
      </c>
      <c r="B374" s="8" t="s">
        <v>1384</v>
      </c>
      <c r="C374" s="8" t="s">
        <v>2011</v>
      </c>
      <c r="D374" s="9">
        <v>45192</v>
      </c>
      <c r="E374" s="10">
        <f t="shared" si="50"/>
        <v>435516</v>
      </c>
      <c r="F374" s="8">
        <v>30685</v>
      </c>
      <c r="G374" s="8">
        <v>5608</v>
      </c>
      <c r="H374" s="11">
        <f t="shared" si="51"/>
        <v>15342.5</v>
      </c>
      <c r="I374" s="11">
        <f t="shared" si="52"/>
        <v>6137</v>
      </c>
      <c r="J374" s="11">
        <f t="shared" si="53"/>
        <v>9205.5</v>
      </c>
      <c r="K374" s="11">
        <f t="shared" si="54"/>
        <v>1841.1</v>
      </c>
      <c r="L374" s="8">
        <v>200</v>
      </c>
      <c r="M374" s="8">
        <f t="shared" si="55"/>
        <v>208</v>
      </c>
      <c r="N374" s="11">
        <v>4</v>
      </c>
      <c r="O374" s="11">
        <f t="shared" si="56"/>
        <v>73.762019230769226</v>
      </c>
      <c r="P374" s="11">
        <f t="shared" si="57"/>
        <v>147.52403846153845</v>
      </c>
      <c r="Q374" s="11">
        <f t="shared" si="58"/>
        <v>590.09615384615381</v>
      </c>
      <c r="R374" s="8">
        <v>34252</v>
      </c>
      <c r="S374" s="11">
        <f t="shared" si="59"/>
        <v>39860</v>
      </c>
      <c r="T374" s="20">
        <f>S374/median_percentile!$B$1</f>
        <v>0.79089655446094631</v>
      </c>
      <c r="U374" s="24" t="str" cm="1">
        <f t="array" ref="U374">_xlfn.IFS(T374&lt;1,"underpaid",T374&gt;1,"overpaid",T374=1,"median pay")</f>
        <v>underpaid</v>
      </c>
      <c r="V374" s="5"/>
    </row>
    <row r="375" spans="1:22" x14ac:dyDescent="0.3">
      <c r="A375" s="22" t="s">
        <v>386</v>
      </c>
      <c r="B375" s="12" t="s">
        <v>1385</v>
      </c>
      <c r="C375" s="12" t="s">
        <v>2013</v>
      </c>
      <c r="D375" s="13">
        <v>44668</v>
      </c>
      <c r="E375" s="14">
        <f t="shared" si="50"/>
        <v>690708</v>
      </c>
      <c r="F375" s="12">
        <v>49005</v>
      </c>
      <c r="G375" s="12">
        <v>8554</v>
      </c>
      <c r="H375" s="15">
        <f t="shared" si="51"/>
        <v>24502.5</v>
      </c>
      <c r="I375" s="15">
        <f t="shared" si="52"/>
        <v>9801</v>
      </c>
      <c r="J375" s="15">
        <f t="shared" si="53"/>
        <v>14701.5</v>
      </c>
      <c r="K375" s="15">
        <f t="shared" si="54"/>
        <v>2940.2999999999997</v>
      </c>
      <c r="L375" s="12">
        <v>200</v>
      </c>
      <c r="M375" s="12">
        <f t="shared" si="55"/>
        <v>208</v>
      </c>
      <c r="N375" s="15">
        <v>4</v>
      </c>
      <c r="O375" s="15">
        <f t="shared" si="56"/>
        <v>117.80048076923077</v>
      </c>
      <c r="P375" s="15">
        <f t="shared" si="57"/>
        <v>235.60096153846155</v>
      </c>
      <c r="Q375" s="15">
        <f t="shared" si="58"/>
        <v>942.40384615384619</v>
      </c>
      <c r="R375" s="12">
        <v>54827</v>
      </c>
      <c r="S375" s="15">
        <f t="shared" si="59"/>
        <v>63381</v>
      </c>
      <c r="T375" s="20">
        <f>S375/median_percentile!$B$1</f>
        <v>1.2575969522902468</v>
      </c>
      <c r="U375" s="24" t="str" cm="1">
        <f t="array" ref="U375">_xlfn.IFS(T375&lt;1,"underpaid",T375&gt;1,"overpaid",T375=1,"median pay")</f>
        <v>overpaid</v>
      </c>
      <c r="V375" s="5"/>
    </row>
    <row r="376" spans="1:22" x14ac:dyDescent="0.3">
      <c r="A376" s="21" t="s">
        <v>387</v>
      </c>
      <c r="B376" s="8" t="s">
        <v>1386</v>
      </c>
      <c r="C376" s="8" t="s">
        <v>2011</v>
      </c>
      <c r="D376" s="9">
        <v>44337</v>
      </c>
      <c r="E376" s="10">
        <f t="shared" si="50"/>
        <v>627600</v>
      </c>
      <c r="F376" s="8">
        <v>44594</v>
      </c>
      <c r="G376" s="8">
        <v>7706</v>
      </c>
      <c r="H376" s="11">
        <f t="shared" si="51"/>
        <v>22297</v>
      </c>
      <c r="I376" s="11">
        <f t="shared" si="52"/>
        <v>8918.8000000000011</v>
      </c>
      <c r="J376" s="11">
        <f t="shared" si="53"/>
        <v>13378.199999999997</v>
      </c>
      <c r="K376" s="11">
        <f t="shared" si="54"/>
        <v>2675.64</v>
      </c>
      <c r="L376" s="8">
        <v>200</v>
      </c>
      <c r="M376" s="8">
        <f t="shared" si="55"/>
        <v>208</v>
      </c>
      <c r="N376" s="11">
        <v>2</v>
      </c>
      <c r="O376" s="11">
        <f t="shared" si="56"/>
        <v>107.19711538461539</v>
      </c>
      <c r="P376" s="11">
        <f t="shared" si="57"/>
        <v>214.39423076923077</v>
      </c>
      <c r="Q376" s="11">
        <f t="shared" si="58"/>
        <v>428.78846153846155</v>
      </c>
      <c r="R376" s="8">
        <v>50168</v>
      </c>
      <c r="S376" s="11">
        <f t="shared" si="59"/>
        <v>57874</v>
      </c>
      <c r="T376" s="20">
        <f>S376/median_percentile!$B$1</f>
        <v>1.1483278272170798</v>
      </c>
      <c r="U376" s="24" t="str" cm="1">
        <f t="array" ref="U376">_xlfn.IFS(T376&lt;1,"underpaid",T376&gt;1,"overpaid",T376=1,"median pay")</f>
        <v>overpaid</v>
      </c>
      <c r="V376" s="5"/>
    </row>
    <row r="377" spans="1:22" x14ac:dyDescent="0.3">
      <c r="A377" s="22" t="s">
        <v>388</v>
      </c>
      <c r="B377" s="12" t="s">
        <v>1387</v>
      </c>
      <c r="C377" s="12" t="s">
        <v>2012</v>
      </c>
      <c r="D377" s="13">
        <v>43998</v>
      </c>
      <c r="E377" s="14">
        <f t="shared" si="50"/>
        <v>504168</v>
      </c>
      <c r="F377" s="12">
        <v>36988</v>
      </c>
      <c r="G377" s="12">
        <v>5026</v>
      </c>
      <c r="H377" s="15">
        <f t="shared" si="51"/>
        <v>18494</v>
      </c>
      <c r="I377" s="15">
        <f t="shared" si="52"/>
        <v>7397.6</v>
      </c>
      <c r="J377" s="15">
        <f t="shared" si="53"/>
        <v>11096.400000000001</v>
      </c>
      <c r="K377" s="15">
        <f t="shared" si="54"/>
        <v>2219.2799999999997</v>
      </c>
      <c r="L377" s="12">
        <v>200</v>
      </c>
      <c r="M377" s="12">
        <f t="shared" si="55"/>
        <v>208</v>
      </c>
      <c r="N377" s="15">
        <v>5</v>
      </c>
      <c r="O377" s="15">
        <f t="shared" si="56"/>
        <v>88.913461538461533</v>
      </c>
      <c r="P377" s="15">
        <f t="shared" si="57"/>
        <v>177.82692307692307</v>
      </c>
      <c r="Q377" s="15">
        <f t="shared" si="58"/>
        <v>889.13461538461536</v>
      </c>
      <c r="R377" s="12">
        <v>39595</v>
      </c>
      <c r="S377" s="15">
        <f t="shared" si="59"/>
        <v>44621</v>
      </c>
      <c r="T377" s="20">
        <f>S377/median_percentile!$B$1</f>
        <v>0.88536365169598297</v>
      </c>
      <c r="U377" s="24" t="str" cm="1">
        <f t="array" ref="U377">_xlfn.IFS(T377&lt;1,"underpaid",T377&gt;1,"overpaid",T377=1,"median pay")</f>
        <v>underpaid</v>
      </c>
      <c r="V377" s="5"/>
    </row>
    <row r="378" spans="1:22" x14ac:dyDescent="0.3">
      <c r="A378" s="21" t="s">
        <v>389</v>
      </c>
      <c r="B378" s="8" t="s">
        <v>1388</v>
      </c>
      <c r="C378" s="8" t="s">
        <v>2012</v>
      </c>
      <c r="D378" s="9">
        <v>45386</v>
      </c>
      <c r="E378" s="10">
        <f t="shared" si="50"/>
        <v>399300</v>
      </c>
      <c r="F378" s="8">
        <v>28133</v>
      </c>
      <c r="G378" s="8">
        <v>5142</v>
      </c>
      <c r="H378" s="11">
        <f t="shared" si="51"/>
        <v>14066.5</v>
      </c>
      <c r="I378" s="11">
        <f t="shared" si="52"/>
        <v>5626.6</v>
      </c>
      <c r="J378" s="11">
        <f t="shared" si="53"/>
        <v>8439.9000000000015</v>
      </c>
      <c r="K378" s="11">
        <f t="shared" si="54"/>
        <v>1687.98</v>
      </c>
      <c r="L378" s="8">
        <v>200</v>
      </c>
      <c r="M378" s="8">
        <f t="shared" si="55"/>
        <v>208</v>
      </c>
      <c r="N378" s="11">
        <v>2</v>
      </c>
      <c r="O378" s="11">
        <f t="shared" si="56"/>
        <v>67.62740384615384</v>
      </c>
      <c r="P378" s="11">
        <f t="shared" si="57"/>
        <v>135.25480769230768</v>
      </c>
      <c r="Q378" s="11">
        <f t="shared" si="58"/>
        <v>270.50961538461536</v>
      </c>
      <c r="R378" s="8">
        <v>31622</v>
      </c>
      <c r="S378" s="11">
        <f t="shared" si="59"/>
        <v>36764</v>
      </c>
      <c r="T378" s="20">
        <f>S378/median_percentile!$B$1</f>
        <v>0.72946615474666909</v>
      </c>
      <c r="U378" s="24" t="str" cm="1">
        <f t="array" ref="U378">_xlfn.IFS(T378&lt;1,"underpaid",T378&gt;1,"overpaid",T378=1,"median pay")</f>
        <v>underpaid</v>
      </c>
      <c r="V378" s="5"/>
    </row>
    <row r="379" spans="1:22" x14ac:dyDescent="0.3">
      <c r="A379" s="22" t="s">
        <v>390</v>
      </c>
      <c r="B379" s="12" t="s">
        <v>1389</v>
      </c>
      <c r="C379" s="12" t="s">
        <v>2015</v>
      </c>
      <c r="D379" s="13">
        <v>44656</v>
      </c>
      <c r="E379" s="14">
        <f t="shared" si="50"/>
        <v>525228</v>
      </c>
      <c r="F379" s="12">
        <v>39296</v>
      </c>
      <c r="G379" s="12">
        <v>4473</v>
      </c>
      <c r="H379" s="15">
        <f t="shared" si="51"/>
        <v>19648</v>
      </c>
      <c r="I379" s="15">
        <f t="shared" si="52"/>
        <v>7859.2000000000007</v>
      </c>
      <c r="J379" s="15">
        <f t="shared" si="53"/>
        <v>11788.8</v>
      </c>
      <c r="K379" s="15">
        <f t="shared" si="54"/>
        <v>2357.7599999999998</v>
      </c>
      <c r="L379" s="12">
        <v>200</v>
      </c>
      <c r="M379" s="12">
        <f t="shared" si="55"/>
        <v>208</v>
      </c>
      <c r="N379" s="15">
        <v>0</v>
      </c>
      <c r="O379" s="15">
        <f t="shared" si="56"/>
        <v>94.461538461538467</v>
      </c>
      <c r="P379" s="15">
        <f t="shared" si="57"/>
        <v>188.92307692307693</v>
      </c>
      <c r="Q379" s="15">
        <f t="shared" si="58"/>
        <v>0</v>
      </c>
      <c r="R379" s="12">
        <v>41212</v>
      </c>
      <c r="S379" s="15">
        <f t="shared" si="59"/>
        <v>45685</v>
      </c>
      <c r="T379" s="20">
        <f>S379/median_percentile!$B$1</f>
        <v>0.90647539113267261</v>
      </c>
      <c r="U379" s="24" t="str" cm="1">
        <f t="array" ref="U379">_xlfn.IFS(T379&lt;1,"underpaid",T379&gt;1,"overpaid",T379=1,"median pay")</f>
        <v>underpaid</v>
      </c>
      <c r="V379" s="5"/>
    </row>
    <row r="380" spans="1:22" x14ac:dyDescent="0.3">
      <c r="A380" s="21" t="s">
        <v>391</v>
      </c>
      <c r="B380" s="8" t="s">
        <v>1390</v>
      </c>
      <c r="C380" s="8" t="s">
        <v>2016</v>
      </c>
      <c r="D380" s="9">
        <v>45305</v>
      </c>
      <c r="E380" s="10">
        <f t="shared" si="50"/>
        <v>585684</v>
      </c>
      <c r="F380" s="8">
        <v>44103</v>
      </c>
      <c r="G380" s="8">
        <v>4704</v>
      </c>
      <c r="H380" s="11">
        <f t="shared" si="51"/>
        <v>22051.5</v>
      </c>
      <c r="I380" s="11">
        <f t="shared" si="52"/>
        <v>8820.6</v>
      </c>
      <c r="J380" s="11">
        <f t="shared" si="53"/>
        <v>13230.900000000001</v>
      </c>
      <c r="K380" s="11">
        <f t="shared" si="54"/>
        <v>2646.18</v>
      </c>
      <c r="L380" s="8">
        <v>200</v>
      </c>
      <c r="M380" s="8">
        <f t="shared" si="55"/>
        <v>208</v>
      </c>
      <c r="N380" s="11">
        <v>0</v>
      </c>
      <c r="O380" s="11">
        <f t="shared" si="56"/>
        <v>106.01682692307692</v>
      </c>
      <c r="P380" s="11">
        <f t="shared" si="57"/>
        <v>212.03365384615384</v>
      </c>
      <c r="Q380" s="11">
        <f t="shared" si="58"/>
        <v>0</v>
      </c>
      <c r="R380" s="8">
        <v>45961</v>
      </c>
      <c r="S380" s="11">
        <f t="shared" si="59"/>
        <v>50665</v>
      </c>
      <c r="T380" s="20">
        <f>S380/median_percentile!$B$1</f>
        <v>1.0052878557893588</v>
      </c>
      <c r="U380" s="24" t="str" cm="1">
        <f t="array" ref="U380">_xlfn.IFS(T380&lt;1,"underpaid",T380&gt;1,"overpaid",T380=1,"median pay")</f>
        <v>overpaid</v>
      </c>
      <c r="V380" s="5"/>
    </row>
    <row r="381" spans="1:22" x14ac:dyDescent="0.3">
      <c r="A381" s="22" t="s">
        <v>392</v>
      </c>
      <c r="B381" s="12" t="s">
        <v>1391</v>
      </c>
      <c r="C381" s="12" t="s">
        <v>2016</v>
      </c>
      <c r="D381" s="13">
        <v>44074</v>
      </c>
      <c r="E381" s="14">
        <f t="shared" si="50"/>
        <v>547584</v>
      </c>
      <c r="F381" s="12">
        <v>40730</v>
      </c>
      <c r="G381" s="12">
        <v>4902</v>
      </c>
      <c r="H381" s="15">
        <f t="shared" si="51"/>
        <v>20365</v>
      </c>
      <c r="I381" s="15">
        <f t="shared" si="52"/>
        <v>8146</v>
      </c>
      <c r="J381" s="15">
        <f t="shared" si="53"/>
        <v>12219</v>
      </c>
      <c r="K381" s="15">
        <f t="shared" si="54"/>
        <v>2443.7999999999997</v>
      </c>
      <c r="L381" s="12">
        <v>200</v>
      </c>
      <c r="M381" s="12">
        <f t="shared" si="55"/>
        <v>208</v>
      </c>
      <c r="N381" s="15">
        <v>4</v>
      </c>
      <c r="O381" s="15">
        <f t="shared" si="56"/>
        <v>97.90865384615384</v>
      </c>
      <c r="P381" s="15">
        <f t="shared" si="57"/>
        <v>195.81730769230768</v>
      </c>
      <c r="Q381" s="15">
        <f t="shared" si="58"/>
        <v>783.26923076923072</v>
      </c>
      <c r="R381" s="12">
        <v>43667</v>
      </c>
      <c r="S381" s="15">
        <f t="shared" si="59"/>
        <v>48569</v>
      </c>
      <c r="T381" s="20">
        <f>S381/median_percentile!$B$1</f>
        <v>0.96369931644791018</v>
      </c>
      <c r="U381" s="24" t="str" cm="1">
        <f t="array" ref="U381">_xlfn.IFS(T381&lt;1,"underpaid",T381&gt;1,"overpaid",T381=1,"median pay")</f>
        <v>underpaid</v>
      </c>
      <c r="V381" s="5"/>
    </row>
    <row r="382" spans="1:22" x14ac:dyDescent="0.3">
      <c r="A382" s="21" t="s">
        <v>393</v>
      </c>
      <c r="B382" s="8" t="s">
        <v>1392</v>
      </c>
      <c r="C382" s="8" t="s">
        <v>2014</v>
      </c>
      <c r="D382" s="9">
        <v>44208</v>
      </c>
      <c r="E382" s="10">
        <f t="shared" si="50"/>
        <v>745368</v>
      </c>
      <c r="F382" s="8">
        <v>56362</v>
      </c>
      <c r="G382" s="8">
        <v>5752</v>
      </c>
      <c r="H382" s="11">
        <f t="shared" si="51"/>
        <v>28181</v>
      </c>
      <c r="I382" s="11">
        <f t="shared" si="52"/>
        <v>11272.400000000001</v>
      </c>
      <c r="J382" s="11">
        <f t="shared" si="53"/>
        <v>16908.599999999999</v>
      </c>
      <c r="K382" s="11">
        <f t="shared" si="54"/>
        <v>3381.72</v>
      </c>
      <c r="L382" s="8">
        <v>200</v>
      </c>
      <c r="M382" s="8">
        <f t="shared" si="55"/>
        <v>208</v>
      </c>
      <c r="N382" s="11">
        <v>5</v>
      </c>
      <c r="O382" s="11">
        <f t="shared" si="56"/>
        <v>135.48557692307693</v>
      </c>
      <c r="P382" s="11">
        <f t="shared" si="57"/>
        <v>270.97115384615387</v>
      </c>
      <c r="Q382" s="11">
        <f t="shared" si="58"/>
        <v>1354.8557692307693</v>
      </c>
      <c r="R382" s="8">
        <v>58533</v>
      </c>
      <c r="S382" s="11">
        <f t="shared" si="59"/>
        <v>64285</v>
      </c>
      <c r="T382" s="20">
        <f>S382/median_percentile!$B$1</f>
        <v>1.2755339940672838</v>
      </c>
      <c r="U382" s="24" t="str" cm="1">
        <f t="array" ref="U382">_xlfn.IFS(T382&lt;1,"underpaid",T382&gt;1,"overpaid",T382=1,"median pay")</f>
        <v>overpaid</v>
      </c>
      <c r="V382" s="5"/>
    </row>
    <row r="383" spans="1:22" x14ac:dyDescent="0.3">
      <c r="A383" s="22" t="s">
        <v>394</v>
      </c>
      <c r="B383" s="12" t="s">
        <v>1393</v>
      </c>
      <c r="C383" s="12" t="s">
        <v>2014</v>
      </c>
      <c r="D383" s="13">
        <v>45912</v>
      </c>
      <c r="E383" s="14">
        <f t="shared" si="50"/>
        <v>822120</v>
      </c>
      <c r="F383" s="12">
        <v>57877</v>
      </c>
      <c r="G383" s="12">
        <v>10633</v>
      </c>
      <c r="H383" s="15">
        <f t="shared" si="51"/>
        <v>28938.5</v>
      </c>
      <c r="I383" s="15">
        <f t="shared" si="52"/>
        <v>11575.400000000001</v>
      </c>
      <c r="J383" s="15">
        <f t="shared" si="53"/>
        <v>17363.099999999999</v>
      </c>
      <c r="K383" s="15">
        <f t="shared" si="54"/>
        <v>3472.62</v>
      </c>
      <c r="L383" s="12">
        <v>200</v>
      </c>
      <c r="M383" s="12">
        <f t="shared" si="55"/>
        <v>208</v>
      </c>
      <c r="N383" s="15">
        <v>1</v>
      </c>
      <c r="O383" s="15">
        <f t="shared" si="56"/>
        <v>139.12740384615384</v>
      </c>
      <c r="P383" s="15">
        <f t="shared" si="57"/>
        <v>278.25480769230768</v>
      </c>
      <c r="Q383" s="15">
        <f t="shared" si="58"/>
        <v>278.25480769230768</v>
      </c>
      <c r="R383" s="12">
        <v>64838</v>
      </c>
      <c r="S383" s="15">
        <f t="shared" si="59"/>
        <v>75471</v>
      </c>
      <c r="T383" s="20">
        <f>S383/median_percentile!$B$1</f>
        <v>1.4974850441977441</v>
      </c>
      <c r="U383" s="24" t="str" cm="1">
        <f t="array" ref="U383">_xlfn.IFS(T383&lt;1,"underpaid",T383&gt;1,"overpaid",T383=1,"median pay")</f>
        <v>overpaid</v>
      </c>
      <c r="V383" s="5"/>
    </row>
    <row r="384" spans="1:22" x14ac:dyDescent="0.3">
      <c r="A384" s="21" t="s">
        <v>395</v>
      </c>
      <c r="B384" s="8" t="s">
        <v>1394</v>
      </c>
      <c r="C384" s="8" t="s">
        <v>2013</v>
      </c>
      <c r="D384" s="9">
        <v>45552</v>
      </c>
      <c r="E384" s="10">
        <f t="shared" si="50"/>
        <v>784428</v>
      </c>
      <c r="F384" s="8">
        <v>56441</v>
      </c>
      <c r="G384" s="8">
        <v>8928</v>
      </c>
      <c r="H384" s="11">
        <f t="shared" si="51"/>
        <v>28220.5</v>
      </c>
      <c r="I384" s="11">
        <f t="shared" si="52"/>
        <v>11288.2</v>
      </c>
      <c r="J384" s="11">
        <f t="shared" si="53"/>
        <v>16932.300000000003</v>
      </c>
      <c r="K384" s="11">
        <f t="shared" si="54"/>
        <v>3386.46</v>
      </c>
      <c r="L384" s="8">
        <v>200</v>
      </c>
      <c r="M384" s="8">
        <f t="shared" si="55"/>
        <v>208</v>
      </c>
      <c r="N384" s="11">
        <v>0</v>
      </c>
      <c r="O384" s="11">
        <f t="shared" si="56"/>
        <v>135.67548076923077</v>
      </c>
      <c r="P384" s="11">
        <f t="shared" si="57"/>
        <v>271.35096153846155</v>
      </c>
      <c r="Q384" s="11">
        <f t="shared" si="58"/>
        <v>0</v>
      </c>
      <c r="R384" s="8">
        <v>61783</v>
      </c>
      <c r="S384" s="11">
        <f t="shared" si="59"/>
        <v>70711</v>
      </c>
      <c r="T384" s="20">
        <f>S384/median_percentile!$B$1</f>
        <v>1.4030377888230801</v>
      </c>
      <c r="U384" s="24" t="str" cm="1">
        <f t="array" ref="U384">_xlfn.IFS(T384&lt;1,"underpaid",T384&gt;1,"overpaid",T384=1,"median pay")</f>
        <v>overpaid</v>
      </c>
      <c r="V384" s="5"/>
    </row>
    <row r="385" spans="1:22" x14ac:dyDescent="0.3">
      <c r="A385" s="22" t="s">
        <v>396</v>
      </c>
      <c r="B385" s="12" t="s">
        <v>1395</v>
      </c>
      <c r="C385" s="12" t="s">
        <v>2011</v>
      </c>
      <c r="D385" s="13">
        <v>45351</v>
      </c>
      <c r="E385" s="14">
        <f t="shared" si="50"/>
        <v>520116</v>
      </c>
      <c r="F385" s="12">
        <v>37743</v>
      </c>
      <c r="G385" s="12">
        <v>5600</v>
      </c>
      <c r="H385" s="15">
        <f t="shared" si="51"/>
        <v>18871.5</v>
      </c>
      <c r="I385" s="15">
        <f t="shared" si="52"/>
        <v>7548.6</v>
      </c>
      <c r="J385" s="15">
        <f t="shared" si="53"/>
        <v>11322.900000000001</v>
      </c>
      <c r="K385" s="15">
        <f t="shared" si="54"/>
        <v>2264.58</v>
      </c>
      <c r="L385" s="12">
        <v>200</v>
      </c>
      <c r="M385" s="12">
        <f t="shared" si="55"/>
        <v>208</v>
      </c>
      <c r="N385" s="15">
        <v>1</v>
      </c>
      <c r="O385" s="15">
        <f t="shared" si="56"/>
        <v>90.728365384615387</v>
      </c>
      <c r="P385" s="15">
        <f t="shared" si="57"/>
        <v>181.45673076923077</v>
      </c>
      <c r="Q385" s="15">
        <f t="shared" si="58"/>
        <v>181.45673076923077</v>
      </c>
      <c r="R385" s="12">
        <v>40879</v>
      </c>
      <c r="S385" s="15">
        <f t="shared" si="59"/>
        <v>46479</v>
      </c>
      <c r="T385" s="20">
        <f>S385/median_percentile!$B$1</f>
        <v>0.92222982826869848</v>
      </c>
      <c r="U385" s="24" t="str" cm="1">
        <f t="array" ref="U385">_xlfn.IFS(T385&lt;1,"underpaid",T385&gt;1,"overpaid",T385=1,"median pay")</f>
        <v>underpaid</v>
      </c>
      <c r="V385" s="5"/>
    </row>
    <row r="386" spans="1:22" x14ac:dyDescent="0.3">
      <c r="A386" s="21" t="s">
        <v>397</v>
      </c>
      <c r="B386" s="8" t="s">
        <v>1396</v>
      </c>
      <c r="C386" s="8" t="s">
        <v>2012</v>
      </c>
      <c r="D386" s="9">
        <v>44736</v>
      </c>
      <c r="E386" s="10">
        <f t="shared" ref="E386:E449" si="60">(F386*12)+(G386*12)</f>
        <v>545064</v>
      </c>
      <c r="F386" s="8">
        <v>40800</v>
      </c>
      <c r="G386" s="8">
        <v>4622</v>
      </c>
      <c r="H386" s="11">
        <f t="shared" ref="H386:H449" si="61">F386*50%</f>
        <v>20400</v>
      </c>
      <c r="I386" s="11">
        <f t="shared" ref="I386:I449" si="62">H386*40%</f>
        <v>8160</v>
      </c>
      <c r="J386" s="11">
        <f t="shared" ref="J386:J449" si="63">F386-(H386+I386)</f>
        <v>12240</v>
      </c>
      <c r="K386" s="11">
        <f t="shared" ref="K386:K449" si="64">H386*12%</f>
        <v>2448</v>
      </c>
      <c r="L386" s="8">
        <v>200</v>
      </c>
      <c r="M386" s="8">
        <f t="shared" si="55"/>
        <v>208</v>
      </c>
      <c r="N386" s="11">
        <v>5</v>
      </c>
      <c r="O386" s="11">
        <f t="shared" si="56"/>
        <v>98.07692307692308</v>
      </c>
      <c r="P386" s="11">
        <f t="shared" si="57"/>
        <v>196.15384615384616</v>
      </c>
      <c r="Q386" s="11">
        <f t="shared" si="58"/>
        <v>980.76923076923083</v>
      </c>
      <c r="R386" s="8">
        <v>42774</v>
      </c>
      <c r="S386" s="11">
        <f t="shared" si="59"/>
        <v>47396</v>
      </c>
      <c r="T386" s="20">
        <f>S386/median_percentile!$B$1</f>
        <v>0.94042481423058222</v>
      </c>
      <c r="U386" s="24" t="str" cm="1">
        <f t="array" ref="U386">_xlfn.IFS(T386&lt;1,"underpaid",T386&gt;1,"overpaid",T386=1,"median pay")</f>
        <v>underpaid</v>
      </c>
      <c r="V386" s="5"/>
    </row>
    <row r="387" spans="1:22" x14ac:dyDescent="0.3">
      <c r="A387" s="22" t="s">
        <v>398</v>
      </c>
      <c r="B387" s="12" t="s">
        <v>1397</v>
      </c>
      <c r="C387" s="12" t="s">
        <v>2012</v>
      </c>
      <c r="D387" s="13">
        <v>44574</v>
      </c>
      <c r="E387" s="14">
        <f t="shared" si="60"/>
        <v>433392</v>
      </c>
      <c r="F387" s="12">
        <v>32742</v>
      </c>
      <c r="G387" s="12">
        <v>3374</v>
      </c>
      <c r="H387" s="15">
        <f t="shared" si="61"/>
        <v>16371</v>
      </c>
      <c r="I387" s="15">
        <f t="shared" si="62"/>
        <v>6548.4000000000005</v>
      </c>
      <c r="J387" s="15">
        <f t="shared" si="63"/>
        <v>9822.5999999999985</v>
      </c>
      <c r="K387" s="15">
        <f t="shared" si="64"/>
        <v>1964.52</v>
      </c>
      <c r="L387" s="12">
        <v>200</v>
      </c>
      <c r="M387" s="12">
        <f t="shared" ref="M387:M450" si="65">8*26</f>
        <v>208</v>
      </c>
      <c r="N387" s="15">
        <v>1</v>
      </c>
      <c r="O387" s="15">
        <f t="shared" ref="O387:O450" si="66">H387/M387</f>
        <v>78.706730769230774</v>
      </c>
      <c r="P387" s="15">
        <f t="shared" ref="P387:P450" si="67">O387*2</f>
        <v>157.41346153846155</v>
      </c>
      <c r="Q387" s="15">
        <f t="shared" ref="Q387:Q450" si="68">P387*N387</f>
        <v>157.41346153846155</v>
      </c>
      <c r="R387" s="12">
        <v>34497</v>
      </c>
      <c r="S387" s="15">
        <f t="shared" ref="S387:T450" si="69">R387+G387</f>
        <v>37871</v>
      </c>
      <c r="T387" s="20">
        <f>S387/median_percentile!$B$1</f>
        <v>0.75143109417939025</v>
      </c>
      <c r="U387" s="24" t="str" cm="1">
        <f t="array" ref="U387">_xlfn.IFS(T387&lt;1,"underpaid",T387&gt;1,"overpaid",T387=1,"median pay")</f>
        <v>underpaid</v>
      </c>
      <c r="V387" s="5"/>
    </row>
    <row r="388" spans="1:22" x14ac:dyDescent="0.3">
      <c r="A388" s="21" t="s">
        <v>399</v>
      </c>
      <c r="B388" s="8" t="s">
        <v>1398</v>
      </c>
      <c r="C388" s="8" t="s">
        <v>2016</v>
      </c>
      <c r="D388" s="9">
        <v>44201</v>
      </c>
      <c r="E388" s="10">
        <f t="shared" si="60"/>
        <v>665184</v>
      </c>
      <c r="F388" s="8">
        <v>48625</v>
      </c>
      <c r="G388" s="8">
        <v>6807</v>
      </c>
      <c r="H388" s="11">
        <f t="shared" si="61"/>
        <v>24312.5</v>
      </c>
      <c r="I388" s="11">
        <f t="shared" si="62"/>
        <v>9725</v>
      </c>
      <c r="J388" s="11">
        <f t="shared" si="63"/>
        <v>14587.5</v>
      </c>
      <c r="K388" s="11">
        <f t="shared" si="64"/>
        <v>2917.5</v>
      </c>
      <c r="L388" s="8">
        <v>200</v>
      </c>
      <c r="M388" s="8">
        <f t="shared" si="65"/>
        <v>208</v>
      </c>
      <c r="N388" s="11">
        <v>2</v>
      </c>
      <c r="O388" s="11">
        <f t="shared" si="66"/>
        <v>116.88701923076923</v>
      </c>
      <c r="P388" s="11">
        <f t="shared" si="67"/>
        <v>233.77403846153845</v>
      </c>
      <c r="Q388" s="11">
        <f t="shared" si="68"/>
        <v>467.54807692307691</v>
      </c>
      <c r="R388" s="8">
        <v>52315</v>
      </c>
      <c r="S388" s="11">
        <f t="shared" si="69"/>
        <v>59122</v>
      </c>
      <c r="T388" s="20">
        <f>S388/median_percentile!$B$1</f>
        <v>1.17309046896237</v>
      </c>
      <c r="U388" s="24" t="str" cm="1">
        <f t="array" ref="U388">_xlfn.IFS(T388&lt;1,"underpaid",T388&gt;1,"overpaid",T388=1,"median pay")</f>
        <v>overpaid</v>
      </c>
      <c r="V388" s="5"/>
    </row>
    <row r="389" spans="1:22" x14ac:dyDescent="0.3">
      <c r="A389" s="22" t="s">
        <v>400</v>
      </c>
      <c r="B389" s="12" t="s">
        <v>1399</v>
      </c>
      <c r="C389" s="12" t="s">
        <v>2015</v>
      </c>
      <c r="D389" s="13">
        <v>45316</v>
      </c>
      <c r="E389" s="14">
        <f t="shared" si="60"/>
        <v>377196</v>
      </c>
      <c r="F389" s="12">
        <v>28265</v>
      </c>
      <c r="G389" s="12">
        <v>3168</v>
      </c>
      <c r="H389" s="15">
        <f t="shared" si="61"/>
        <v>14132.5</v>
      </c>
      <c r="I389" s="15">
        <f t="shared" si="62"/>
        <v>5653</v>
      </c>
      <c r="J389" s="15">
        <f t="shared" si="63"/>
        <v>8479.5</v>
      </c>
      <c r="K389" s="15">
        <f t="shared" si="64"/>
        <v>1695.8999999999999</v>
      </c>
      <c r="L389" s="12">
        <v>200</v>
      </c>
      <c r="M389" s="12">
        <f t="shared" si="65"/>
        <v>208</v>
      </c>
      <c r="N389" s="15">
        <v>4</v>
      </c>
      <c r="O389" s="15">
        <f t="shared" si="66"/>
        <v>67.944711538461533</v>
      </c>
      <c r="P389" s="15">
        <f t="shared" si="67"/>
        <v>135.88942307692307</v>
      </c>
      <c r="Q389" s="15">
        <f t="shared" si="68"/>
        <v>543.55769230769226</v>
      </c>
      <c r="R389" s="12">
        <v>30009</v>
      </c>
      <c r="S389" s="15">
        <f t="shared" si="69"/>
        <v>33177</v>
      </c>
      <c r="T389" s="20">
        <f>S389/median_percentile!$B$1</f>
        <v>0.65829340158933303</v>
      </c>
      <c r="U389" s="24" t="str" cm="1">
        <f t="array" ref="U389">_xlfn.IFS(T389&lt;1,"underpaid",T389&gt;1,"overpaid",T389=1,"median pay")</f>
        <v>underpaid</v>
      </c>
      <c r="V389" s="5"/>
    </row>
    <row r="390" spans="1:22" x14ac:dyDescent="0.3">
      <c r="A390" s="21" t="s">
        <v>401</v>
      </c>
      <c r="B390" s="8" t="s">
        <v>1400</v>
      </c>
      <c r="C390" s="8" t="s">
        <v>2015</v>
      </c>
      <c r="D390" s="9">
        <v>44704</v>
      </c>
      <c r="E390" s="10">
        <f t="shared" si="60"/>
        <v>427992</v>
      </c>
      <c r="F390" s="8">
        <v>30753</v>
      </c>
      <c r="G390" s="8">
        <v>4913</v>
      </c>
      <c r="H390" s="11">
        <f t="shared" si="61"/>
        <v>15376.5</v>
      </c>
      <c r="I390" s="11">
        <f t="shared" si="62"/>
        <v>6150.6</v>
      </c>
      <c r="J390" s="11">
        <f t="shared" si="63"/>
        <v>9225.9000000000015</v>
      </c>
      <c r="K390" s="11">
        <f t="shared" si="64"/>
        <v>1845.1799999999998</v>
      </c>
      <c r="L390" s="8">
        <v>200</v>
      </c>
      <c r="M390" s="8">
        <f t="shared" si="65"/>
        <v>208</v>
      </c>
      <c r="N390" s="11">
        <v>4</v>
      </c>
      <c r="O390" s="11">
        <f t="shared" si="66"/>
        <v>73.925480769230774</v>
      </c>
      <c r="P390" s="11">
        <f t="shared" si="67"/>
        <v>147.85096153846155</v>
      </c>
      <c r="Q390" s="11">
        <f t="shared" si="68"/>
        <v>591.40384615384619</v>
      </c>
      <c r="R390" s="8">
        <v>33621</v>
      </c>
      <c r="S390" s="11">
        <f t="shared" si="69"/>
        <v>38534</v>
      </c>
      <c r="T390" s="20">
        <f>S390/median_percentile!$B$1</f>
        <v>0.76458624760657556</v>
      </c>
      <c r="U390" s="24" t="str" cm="1">
        <f t="array" ref="U390">_xlfn.IFS(T390&lt;1,"underpaid",T390&gt;1,"overpaid",T390=1,"median pay")</f>
        <v>underpaid</v>
      </c>
      <c r="V390" s="5"/>
    </row>
    <row r="391" spans="1:22" x14ac:dyDescent="0.3">
      <c r="A391" s="22" t="s">
        <v>402</v>
      </c>
      <c r="B391" s="12" t="s">
        <v>1401</v>
      </c>
      <c r="C391" s="12" t="s">
        <v>2016</v>
      </c>
      <c r="D391" s="13">
        <v>43532</v>
      </c>
      <c r="E391" s="14">
        <f t="shared" si="60"/>
        <v>580092</v>
      </c>
      <c r="F391" s="12">
        <v>43560</v>
      </c>
      <c r="G391" s="12">
        <v>4781</v>
      </c>
      <c r="H391" s="15">
        <f t="shared" si="61"/>
        <v>21780</v>
      </c>
      <c r="I391" s="15">
        <f t="shared" si="62"/>
        <v>8712</v>
      </c>
      <c r="J391" s="15">
        <f t="shared" si="63"/>
        <v>13068</v>
      </c>
      <c r="K391" s="15">
        <f t="shared" si="64"/>
        <v>2613.6</v>
      </c>
      <c r="L391" s="12">
        <v>200</v>
      </c>
      <c r="M391" s="12">
        <f t="shared" si="65"/>
        <v>208</v>
      </c>
      <c r="N391" s="15">
        <v>4</v>
      </c>
      <c r="O391" s="15">
        <f t="shared" si="66"/>
        <v>104.71153846153847</v>
      </c>
      <c r="P391" s="15">
        <f t="shared" si="67"/>
        <v>209.42307692307693</v>
      </c>
      <c r="Q391" s="15">
        <f t="shared" si="68"/>
        <v>837.69230769230774</v>
      </c>
      <c r="R391" s="12">
        <v>45528</v>
      </c>
      <c r="S391" s="15">
        <f t="shared" si="69"/>
        <v>50309</v>
      </c>
      <c r="T391" s="20">
        <f>S391/median_percentile!$B$1</f>
        <v>0.99822415349663185</v>
      </c>
      <c r="U391" s="24" t="str" cm="1">
        <f t="array" ref="U391">_xlfn.IFS(T391&lt;1,"underpaid",T391&gt;1,"overpaid",T391=1,"median pay")</f>
        <v>underpaid</v>
      </c>
      <c r="V391" s="5"/>
    </row>
    <row r="392" spans="1:22" x14ac:dyDescent="0.3">
      <c r="A392" s="21" t="s">
        <v>403</v>
      </c>
      <c r="B392" s="8" t="s">
        <v>1402</v>
      </c>
      <c r="C392" s="8" t="s">
        <v>2016</v>
      </c>
      <c r="D392" s="9">
        <v>45631</v>
      </c>
      <c r="E392" s="10">
        <f t="shared" si="60"/>
        <v>609096</v>
      </c>
      <c r="F392" s="8">
        <v>42914</v>
      </c>
      <c r="G392" s="8">
        <v>7844</v>
      </c>
      <c r="H392" s="11">
        <f t="shared" si="61"/>
        <v>21457</v>
      </c>
      <c r="I392" s="11">
        <f t="shared" si="62"/>
        <v>8582.8000000000011</v>
      </c>
      <c r="J392" s="11">
        <f t="shared" si="63"/>
        <v>12874.199999999997</v>
      </c>
      <c r="K392" s="11">
        <f t="shared" si="64"/>
        <v>2574.8399999999997</v>
      </c>
      <c r="L392" s="8">
        <v>200</v>
      </c>
      <c r="M392" s="8">
        <f t="shared" si="65"/>
        <v>208</v>
      </c>
      <c r="N392" s="11">
        <v>3</v>
      </c>
      <c r="O392" s="11">
        <f t="shared" si="66"/>
        <v>103.15865384615384</v>
      </c>
      <c r="P392" s="11">
        <f t="shared" si="67"/>
        <v>206.31730769230768</v>
      </c>
      <c r="Q392" s="11">
        <f t="shared" si="68"/>
        <v>618.95192307692309</v>
      </c>
      <c r="R392" s="8">
        <v>48699</v>
      </c>
      <c r="S392" s="11">
        <f t="shared" si="69"/>
        <v>56543</v>
      </c>
      <c r="T392" s="20">
        <f>S392/median_percentile!$B$1</f>
        <v>1.1219183110608451</v>
      </c>
      <c r="U392" s="24" t="str" cm="1">
        <f t="array" ref="U392">_xlfn.IFS(T392&lt;1,"underpaid",T392&gt;1,"overpaid",T392=1,"median pay")</f>
        <v>overpaid</v>
      </c>
      <c r="V392" s="5"/>
    </row>
    <row r="393" spans="1:22" x14ac:dyDescent="0.3">
      <c r="A393" s="22" t="s">
        <v>404</v>
      </c>
      <c r="B393" s="12" t="s">
        <v>1403</v>
      </c>
      <c r="C393" s="12" t="s">
        <v>2011</v>
      </c>
      <c r="D393" s="13">
        <v>44878</v>
      </c>
      <c r="E393" s="14">
        <f t="shared" si="60"/>
        <v>409920</v>
      </c>
      <c r="F393" s="12">
        <v>31027</v>
      </c>
      <c r="G393" s="12">
        <v>3133</v>
      </c>
      <c r="H393" s="15">
        <f t="shared" si="61"/>
        <v>15513.5</v>
      </c>
      <c r="I393" s="15">
        <f t="shared" si="62"/>
        <v>6205.4000000000005</v>
      </c>
      <c r="J393" s="15">
        <f t="shared" si="63"/>
        <v>9308.0999999999985</v>
      </c>
      <c r="K393" s="15">
        <f t="shared" si="64"/>
        <v>1861.62</v>
      </c>
      <c r="L393" s="12">
        <v>200</v>
      </c>
      <c r="M393" s="12">
        <f t="shared" si="65"/>
        <v>208</v>
      </c>
      <c r="N393" s="15">
        <v>3</v>
      </c>
      <c r="O393" s="15">
        <f t="shared" si="66"/>
        <v>74.584134615384613</v>
      </c>
      <c r="P393" s="15">
        <f t="shared" si="67"/>
        <v>149.16826923076923</v>
      </c>
      <c r="Q393" s="15">
        <f t="shared" si="68"/>
        <v>447.50480769230768</v>
      </c>
      <c r="R393" s="12">
        <v>32357</v>
      </c>
      <c r="S393" s="15">
        <f t="shared" si="69"/>
        <v>35490</v>
      </c>
      <c r="T393" s="20">
        <f>S393/median_percentile!$B$1</f>
        <v>0.70418762463168549</v>
      </c>
      <c r="U393" s="24" t="str" cm="1">
        <f t="array" ref="U393">_xlfn.IFS(T393&lt;1,"underpaid",T393&gt;1,"overpaid",T393=1,"median pay")</f>
        <v>underpaid</v>
      </c>
      <c r="V393" s="5"/>
    </row>
    <row r="394" spans="1:22" x14ac:dyDescent="0.3">
      <c r="A394" s="21" t="s">
        <v>405</v>
      </c>
      <c r="B394" s="8" t="s">
        <v>1404</v>
      </c>
      <c r="C394" s="8" t="s">
        <v>2012</v>
      </c>
      <c r="D394" s="9">
        <v>44510</v>
      </c>
      <c r="E394" s="10">
        <f t="shared" si="60"/>
        <v>401160</v>
      </c>
      <c r="F394" s="8">
        <v>28507</v>
      </c>
      <c r="G394" s="8">
        <v>4923</v>
      </c>
      <c r="H394" s="11">
        <f t="shared" si="61"/>
        <v>14253.5</v>
      </c>
      <c r="I394" s="11">
        <f t="shared" si="62"/>
        <v>5701.4000000000005</v>
      </c>
      <c r="J394" s="11">
        <f t="shared" si="63"/>
        <v>8552.0999999999985</v>
      </c>
      <c r="K394" s="11">
        <f t="shared" si="64"/>
        <v>1710.4199999999998</v>
      </c>
      <c r="L394" s="8">
        <v>200</v>
      </c>
      <c r="M394" s="8">
        <f t="shared" si="65"/>
        <v>208</v>
      </c>
      <c r="N394" s="11">
        <v>1</v>
      </c>
      <c r="O394" s="11">
        <f t="shared" si="66"/>
        <v>68.526442307692307</v>
      </c>
      <c r="P394" s="11">
        <f t="shared" si="67"/>
        <v>137.05288461538461</v>
      </c>
      <c r="Q394" s="11">
        <f t="shared" si="68"/>
        <v>137.05288461538461</v>
      </c>
      <c r="R394" s="8">
        <v>31757</v>
      </c>
      <c r="S394" s="11">
        <f t="shared" si="69"/>
        <v>36680</v>
      </c>
      <c r="T394" s="20">
        <f>S394/median_percentile!$B$1</f>
        <v>0.72779943847535145</v>
      </c>
      <c r="U394" s="24" t="str" cm="1">
        <f t="array" ref="U394">_xlfn.IFS(T394&lt;1,"underpaid",T394&gt;1,"overpaid",T394=1,"median pay")</f>
        <v>underpaid</v>
      </c>
      <c r="V394" s="5"/>
    </row>
    <row r="395" spans="1:22" x14ac:dyDescent="0.3">
      <c r="A395" s="22" t="s">
        <v>406</v>
      </c>
      <c r="B395" s="12" t="s">
        <v>1405</v>
      </c>
      <c r="C395" s="12" t="s">
        <v>2012</v>
      </c>
      <c r="D395" s="13">
        <v>45867</v>
      </c>
      <c r="E395" s="14">
        <f t="shared" si="60"/>
        <v>379188</v>
      </c>
      <c r="F395" s="12">
        <v>28168</v>
      </c>
      <c r="G395" s="12">
        <v>3431</v>
      </c>
      <c r="H395" s="15">
        <f t="shared" si="61"/>
        <v>14084</v>
      </c>
      <c r="I395" s="15">
        <f t="shared" si="62"/>
        <v>5633.6</v>
      </c>
      <c r="J395" s="15">
        <f t="shared" si="63"/>
        <v>8450.4000000000015</v>
      </c>
      <c r="K395" s="15">
        <f t="shared" si="64"/>
        <v>1690.08</v>
      </c>
      <c r="L395" s="12">
        <v>200</v>
      </c>
      <c r="M395" s="12">
        <f t="shared" si="65"/>
        <v>208</v>
      </c>
      <c r="N395" s="15">
        <v>5</v>
      </c>
      <c r="O395" s="15">
        <f t="shared" si="66"/>
        <v>67.711538461538467</v>
      </c>
      <c r="P395" s="15">
        <f t="shared" si="67"/>
        <v>135.42307692307693</v>
      </c>
      <c r="Q395" s="15">
        <f t="shared" si="68"/>
        <v>677.11538461538464</v>
      </c>
      <c r="R395" s="12">
        <v>29709</v>
      </c>
      <c r="S395" s="15">
        <f t="shared" si="69"/>
        <v>33140</v>
      </c>
      <c r="T395" s="20">
        <f>S395/median_percentile!$B$1</f>
        <v>0.65755925275553839</v>
      </c>
      <c r="U395" s="24" t="str" cm="1">
        <f t="array" ref="U395">_xlfn.IFS(T395&lt;1,"underpaid",T395&gt;1,"overpaid",T395=1,"median pay")</f>
        <v>underpaid</v>
      </c>
      <c r="V395" s="5"/>
    </row>
    <row r="396" spans="1:22" x14ac:dyDescent="0.3">
      <c r="A396" s="21" t="s">
        <v>407</v>
      </c>
      <c r="B396" s="8" t="s">
        <v>1406</v>
      </c>
      <c r="C396" s="8" t="s">
        <v>2015</v>
      </c>
      <c r="D396" s="9">
        <v>45445</v>
      </c>
      <c r="E396" s="10">
        <f t="shared" si="60"/>
        <v>554832</v>
      </c>
      <c r="F396" s="8">
        <v>40771</v>
      </c>
      <c r="G396" s="8">
        <v>5465</v>
      </c>
      <c r="H396" s="11">
        <f t="shared" si="61"/>
        <v>20385.5</v>
      </c>
      <c r="I396" s="11">
        <f t="shared" si="62"/>
        <v>8154.2000000000007</v>
      </c>
      <c r="J396" s="11">
        <f t="shared" si="63"/>
        <v>12231.3</v>
      </c>
      <c r="K396" s="11">
        <f t="shared" si="64"/>
        <v>2446.2599999999998</v>
      </c>
      <c r="L396" s="8">
        <v>200</v>
      </c>
      <c r="M396" s="8">
        <f t="shared" si="65"/>
        <v>208</v>
      </c>
      <c r="N396" s="11">
        <v>5</v>
      </c>
      <c r="O396" s="11">
        <f t="shared" si="66"/>
        <v>98.007211538461533</v>
      </c>
      <c r="P396" s="11">
        <f t="shared" si="67"/>
        <v>196.01442307692307</v>
      </c>
      <c r="Q396" s="11">
        <f t="shared" si="68"/>
        <v>980.07211538461536</v>
      </c>
      <c r="R396" s="8">
        <v>44269</v>
      </c>
      <c r="S396" s="11">
        <f t="shared" si="69"/>
        <v>49734</v>
      </c>
      <c r="T396" s="20">
        <f>S396/median_percentile!$B$1</f>
        <v>0.98681508378225546</v>
      </c>
      <c r="U396" s="24" t="str" cm="1">
        <f t="array" ref="U396">_xlfn.IFS(T396&lt;1,"underpaid",T396&gt;1,"overpaid",T396=1,"median pay")</f>
        <v>underpaid</v>
      </c>
      <c r="V396" s="5"/>
    </row>
    <row r="397" spans="1:22" x14ac:dyDescent="0.3">
      <c r="A397" s="22" t="s">
        <v>408</v>
      </c>
      <c r="B397" s="12" t="s">
        <v>1407</v>
      </c>
      <c r="C397" s="12" t="s">
        <v>2012</v>
      </c>
      <c r="D397" s="13">
        <v>45171</v>
      </c>
      <c r="E397" s="14">
        <f t="shared" si="60"/>
        <v>583056</v>
      </c>
      <c r="F397" s="12">
        <v>41172</v>
      </c>
      <c r="G397" s="12">
        <v>7416</v>
      </c>
      <c r="H397" s="15">
        <f t="shared" si="61"/>
        <v>20586</v>
      </c>
      <c r="I397" s="15">
        <f t="shared" si="62"/>
        <v>8234.4</v>
      </c>
      <c r="J397" s="15">
        <f t="shared" si="63"/>
        <v>12351.599999999999</v>
      </c>
      <c r="K397" s="15">
        <f t="shared" si="64"/>
        <v>2470.3199999999997</v>
      </c>
      <c r="L397" s="12">
        <v>200</v>
      </c>
      <c r="M397" s="12">
        <f t="shared" si="65"/>
        <v>208</v>
      </c>
      <c r="N397" s="15">
        <v>0</v>
      </c>
      <c r="O397" s="15">
        <f t="shared" si="66"/>
        <v>98.97115384615384</v>
      </c>
      <c r="P397" s="15">
        <f t="shared" si="67"/>
        <v>197.94230769230768</v>
      </c>
      <c r="Q397" s="15">
        <f t="shared" si="68"/>
        <v>0</v>
      </c>
      <c r="R397" s="12">
        <v>46261</v>
      </c>
      <c r="S397" s="15">
        <f t="shared" si="69"/>
        <v>53677</v>
      </c>
      <c r="T397" s="20">
        <f>S397/median_percentile!$B$1</f>
        <v>1.0650515392323183</v>
      </c>
      <c r="U397" s="24" t="str" cm="1">
        <f t="array" ref="U397">_xlfn.IFS(T397&lt;1,"underpaid",T397&gt;1,"overpaid",T397=1,"median pay")</f>
        <v>overpaid</v>
      </c>
      <c r="V397" s="5"/>
    </row>
    <row r="398" spans="1:22" x14ac:dyDescent="0.3">
      <c r="A398" s="21" t="s">
        <v>409</v>
      </c>
      <c r="B398" s="8" t="s">
        <v>1408</v>
      </c>
      <c r="C398" s="8" t="s">
        <v>2011</v>
      </c>
      <c r="D398" s="9">
        <v>44215</v>
      </c>
      <c r="E398" s="10">
        <f t="shared" si="60"/>
        <v>378768</v>
      </c>
      <c r="F398" s="8">
        <v>27330</v>
      </c>
      <c r="G398" s="8">
        <v>4234</v>
      </c>
      <c r="H398" s="11">
        <f t="shared" si="61"/>
        <v>13665</v>
      </c>
      <c r="I398" s="11">
        <f t="shared" si="62"/>
        <v>5466</v>
      </c>
      <c r="J398" s="11">
        <f t="shared" si="63"/>
        <v>8199</v>
      </c>
      <c r="K398" s="11">
        <f t="shared" si="64"/>
        <v>1639.8</v>
      </c>
      <c r="L398" s="8">
        <v>200</v>
      </c>
      <c r="M398" s="8">
        <f t="shared" si="65"/>
        <v>208</v>
      </c>
      <c r="N398" s="11">
        <v>3</v>
      </c>
      <c r="O398" s="11">
        <f t="shared" si="66"/>
        <v>65.697115384615387</v>
      </c>
      <c r="P398" s="11">
        <f t="shared" si="67"/>
        <v>131.39423076923077</v>
      </c>
      <c r="Q398" s="11">
        <f t="shared" si="68"/>
        <v>394.18269230769232</v>
      </c>
      <c r="R398" s="8">
        <v>29725</v>
      </c>
      <c r="S398" s="11">
        <f t="shared" si="69"/>
        <v>33959</v>
      </c>
      <c r="T398" s="20">
        <f>S398/median_percentile!$B$1</f>
        <v>0.67380973640088493</v>
      </c>
      <c r="U398" s="24" t="str" cm="1">
        <f t="array" ref="U398">_xlfn.IFS(T398&lt;1,"underpaid",T398&gt;1,"overpaid",T398=1,"median pay")</f>
        <v>underpaid</v>
      </c>
      <c r="V398" s="5"/>
    </row>
    <row r="399" spans="1:22" x14ac:dyDescent="0.3">
      <c r="A399" s="22" t="s">
        <v>410</v>
      </c>
      <c r="B399" s="12" t="s">
        <v>1409</v>
      </c>
      <c r="C399" s="12" t="s">
        <v>2012</v>
      </c>
      <c r="D399" s="13">
        <v>43596</v>
      </c>
      <c r="E399" s="14">
        <f t="shared" si="60"/>
        <v>552048</v>
      </c>
      <c r="F399" s="12">
        <v>41246</v>
      </c>
      <c r="G399" s="12">
        <v>4758</v>
      </c>
      <c r="H399" s="15">
        <f t="shared" si="61"/>
        <v>20623</v>
      </c>
      <c r="I399" s="15">
        <f t="shared" si="62"/>
        <v>8249.2000000000007</v>
      </c>
      <c r="J399" s="15">
        <f t="shared" si="63"/>
        <v>12373.8</v>
      </c>
      <c r="K399" s="15">
        <f t="shared" si="64"/>
        <v>2474.7599999999998</v>
      </c>
      <c r="L399" s="12">
        <v>200</v>
      </c>
      <c r="M399" s="12">
        <f t="shared" si="65"/>
        <v>208</v>
      </c>
      <c r="N399" s="15">
        <v>0</v>
      </c>
      <c r="O399" s="15">
        <f t="shared" si="66"/>
        <v>99.149038461538467</v>
      </c>
      <c r="P399" s="15">
        <f t="shared" si="67"/>
        <v>198.29807692307693</v>
      </c>
      <c r="Q399" s="15">
        <f t="shared" si="68"/>
        <v>0</v>
      </c>
      <c r="R399" s="12">
        <v>43330</v>
      </c>
      <c r="S399" s="15">
        <f t="shared" si="69"/>
        <v>48088</v>
      </c>
      <c r="T399" s="20">
        <f>S399/median_percentile!$B$1</f>
        <v>0.9541553816085796</v>
      </c>
      <c r="U399" s="24" t="str" cm="1">
        <f t="array" ref="U399">_xlfn.IFS(T399&lt;1,"underpaid",T399&gt;1,"overpaid",T399=1,"median pay")</f>
        <v>underpaid</v>
      </c>
      <c r="V399" s="5"/>
    </row>
    <row r="400" spans="1:22" x14ac:dyDescent="0.3">
      <c r="A400" s="21" t="s">
        <v>411</v>
      </c>
      <c r="B400" s="8" t="s">
        <v>1410</v>
      </c>
      <c r="C400" s="8" t="s">
        <v>2014</v>
      </c>
      <c r="D400" s="9">
        <v>44608</v>
      </c>
      <c r="E400" s="10">
        <f t="shared" si="60"/>
        <v>510780</v>
      </c>
      <c r="F400" s="8">
        <v>36474</v>
      </c>
      <c r="G400" s="8">
        <v>6091</v>
      </c>
      <c r="H400" s="11">
        <f t="shared" si="61"/>
        <v>18237</v>
      </c>
      <c r="I400" s="11">
        <f t="shared" si="62"/>
        <v>7294.8</v>
      </c>
      <c r="J400" s="11">
        <f t="shared" si="63"/>
        <v>10942.2</v>
      </c>
      <c r="K400" s="11">
        <f t="shared" si="64"/>
        <v>2188.44</v>
      </c>
      <c r="L400" s="8">
        <v>200</v>
      </c>
      <c r="M400" s="8">
        <f t="shared" si="65"/>
        <v>208</v>
      </c>
      <c r="N400" s="11">
        <v>4</v>
      </c>
      <c r="O400" s="11">
        <f t="shared" si="66"/>
        <v>87.677884615384613</v>
      </c>
      <c r="P400" s="11">
        <f t="shared" si="67"/>
        <v>175.35576923076923</v>
      </c>
      <c r="Q400" s="11">
        <f t="shared" si="68"/>
        <v>701.42307692307691</v>
      </c>
      <c r="R400" s="8">
        <v>40480</v>
      </c>
      <c r="S400" s="11">
        <f t="shared" si="69"/>
        <v>46571</v>
      </c>
      <c r="T400" s="20">
        <f>S400/median_percentile!$B$1</f>
        <v>0.9240552794229987</v>
      </c>
      <c r="U400" s="24" t="str" cm="1">
        <f t="array" ref="U400">_xlfn.IFS(T400&lt;1,"underpaid",T400&gt;1,"overpaid",T400=1,"median pay")</f>
        <v>underpaid</v>
      </c>
      <c r="V400" s="5"/>
    </row>
    <row r="401" spans="1:22" x14ac:dyDescent="0.3">
      <c r="A401" s="22" t="s">
        <v>412</v>
      </c>
      <c r="B401" s="12" t="s">
        <v>1411</v>
      </c>
      <c r="C401" s="12" t="s">
        <v>2012</v>
      </c>
      <c r="D401" s="13">
        <v>43930</v>
      </c>
      <c r="E401" s="14">
        <f t="shared" si="60"/>
        <v>450852</v>
      </c>
      <c r="F401" s="12">
        <v>31465</v>
      </c>
      <c r="G401" s="12">
        <v>6106</v>
      </c>
      <c r="H401" s="15">
        <f t="shared" si="61"/>
        <v>15732.5</v>
      </c>
      <c r="I401" s="15">
        <f t="shared" si="62"/>
        <v>6293</v>
      </c>
      <c r="J401" s="15">
        <f t="shared" si="63"/>
        <v>9439.5</v>
      </c>
      <c r="K401" s="15">
        <f t="shared" si="64"/>
        <v>1887.8999999999999</v>
      </c>
      <c r="L401" s="12">
        <v>200</v>
      </c>
      <c r="M401" s="12">
        <f t="shared" si="65"/>
        <v>208</v>
      </c>
      <c r="N401" s="15">
        <v>1</v>
      </c>
      <c r="O401" s="15">
        <f t="shared" si="66"/>
        <v>75.637019230769226</v>
      </c>
      <c r="P401" s="15">
        <f t="shared" si="67"/>
        <v>151.27403846153845</v>
      </c>
      <c r="Q401" s="15">
        <f t="shared" si="68"/>
        <v>151.27403846153845</v>
      </c>
      <c r="R401" s="12">
        <v>35746</v>
      </c>
      <c r="S401" s="15">
        <f t="shared" si="69"/>
        <v>41852</v>
      </c>
      <c r="T401" s="20">
        <f>S401/median_percentile!$B$1</f>
        <v>0.8304215403236207</v>
      </c>
      <c r="U401" s="24" t="str" cm="1">
        <f t="array" ref="U401">_xlfn.IFS(T401&lt;1,"underpaid",T401&gt;1,"overpaid",T401=1,"median pay")</f>
        <v>underpaid</v>
      </c>
      <c r="V401" s="5"/>
    </row>
    <row r="402" spans="1:22" x14ac:dyDescent="0.3">
      <c r="A402" s="21" t="s">
        <v>413</v>
      </c>
      <c r="B402" s="8" t="s">
        <v>1412</v>
      </c>
      <c r="C402" s="8" t="s">
        <v>2016</v>
      </c>
      <c r="D402" s="9">
        <v>45019</v>
      </c>
      <c r="E402" s="10">
        <f t="shared" si="60"/>
        <v>540516</v>
      </c>
      <c r="F402" s="8">
        <v>38355</v>
      </c>
      <c r="G402" s="8">
        <v>6688</v>
      </c>
      <c r="H402" s="11">
        <f t="shared" si="61"/>
        <v>19177.5</v>
      </c>
      <c r="I402" s="11">
        <f t="shared" si="62"/>
        <v>7671</v>
      </c>
      <c r="J402" s="11">
        <f t="shared" si="63"/>
        <v>11506.5</v>
      </c>
      <c r="K402" s="11">
        <f t="shared" si="64"/>
        <v>2301.2999999999997</v>
      </c>
      <c r="L402" s="8">
        <v>200</v>
      </c>
      <c r="M402" s="8">
        <f t="shared" si="65"/>
        <v>208</v>
      </c>
      <c r="N402" s="11">
        <v>3</v>
      </c>
      <c r="O402" s="11">
        <f t="shared" si="66"/>
        <v>92.199519230769226</v>
      </c>
      <c r="P402" s="11">
        <f t="shared" si="67"/>
        <v>184.39903846153845</v>
      </c>
      <c r="Q402" s="11">
        <f t="shared" si="68"/>
        <v>553.19711538461536</v>
      </c>
      <c r="R402" s="8">
        <v>43181</v>
      </c>
      <c r="S402" s="11">
        <f t="shared" si="69"/>
        <v>49869</v>
      </c>
      <c r="T402" s="20">
        <f>S402/median_percentile!$B$1</f>
        <v>0.9894937349325873</v>
      </c>
      <c r="U402" s="24" t="str" cm="1">
        <f t="array" ref="U402">_xlfn.IFS(T402&lt;1,"underpaid",T402&gt;1,"overpaid",T402=1,"median pay")</f>
        <v>underpaid</v>
      </c>
      <c r="V402" s="5"/>
    </row>
    <row r="403" spans="1:22" x14ac:dyDescent="0.3">
      <c r="A403" s="22" t="s">
        <v>414</v>
      </c>
      <c r="B403" s="12" t="s">
        <v>1413</v>
      </c>
      <c r="C403" s="12" t="s">
        <v>2013</v>
      </c>
      <c r="D403" s="13">
        <v>44148</v>
      </c>
      <c r="E403" s="14">
        <f t="shared" si="60"/>
        <v>599148</v>
      </c>
      <c r="F403" s="12">
        <v>44993</v>
      </c>
      <c r="G403" s="12">
        <v>4936</v>
      </c>
      <c r="H403" s="15">
        <f t="shared" si="61"/>
        <v>22496.5</v>
      </c>
      <c r="I403" s="15">
        <f t="shared" si="62"/>
        <v>8998.6</v>
      </c>
      <c r="J403" s="15">
        <f t="shared" si="63"/>
        <v>13497.900000000001</v>
      </c>
      <c r="K403" s="15">
        <f t="shared" si="64"/>
        <v>2699.58</v>
      </c>
      <c r="L403" s="12">
        <v>200</v>
      </c>
      <c r="M403" s="12">
        <f t="shared" si="65"/>
        <v>208</v>
      </c>
      <c r="N403" s="15">
        <v>4</v>
      </c>
      <c r="O403" s="15">
        <f t="shared" si="66"/>
        <v>108.15625</v>
      </c>
      <c r="P403" s="15">
        <f t="shared" si="67"/>
        <v>216.3125</v>
      </c>
      <c r="Q403" s="15">
        <f t="shared" si="68"/>
        <v>865.25</v>
      </c>
      <c r="R403" s="12">
        <v>47404</v>
      </c>
      <c r="S403" s="15">
        <f t="shared" si="69"/>
        <v>52340</v>
      </c>
      <c r="T403" s="20">
        <f>S403/median_percentile!$B$1</f>
        <v>1.0385229719138467</v>
      </c>
      <c r="U403" s="24" t="str" cm="1">
        <f t="array" ref="U403">_xlfn.IFS(T403&lt;1,"underpaid",T403&gt;1,"overpaid",T403=1,"median pay")</f>
        <v>overpaid</v>
      </c>
      <c r="V403" s="5"/>
    </row>
    <row r="404" spans="1:22" x14ac:dyDescent="0.3">
      <c r="A404" s="21" t="s">
        <v>415</v>
      </c>
      <c r="B404" s="8" t="s">
        <v>1414</v>
      </c>
      <c r="C404" s="8" t="s">
        <v>2012</v>
      </c>
      <c r="D404" s="9">
        <v>45841</v>
      </c>
      <c r="E404" s="10">
        <f t="shared" si="60"/>
        <v>420804</v>
      </c>
      <c r="F404" s="8">
        <v>30887</v>
      </c>
      <c r="G404" s="8">
        <v>4180</v>
      </c>
      <c r="H404" s="11">
        <f t="shared" si="61"/>
        <v>15443.5</v>
      </c>
      <c r="I404" s="11">
        <f t="shared" si="62"/>
        <v>6177.4000000000005</v>
      </c>
      <c r="J404" s="11">
        <f t="shared" si="63"/>
        <v>9266.0999999999985</v>
      </c>
      <c r="K404" s="11">
        <f t="shared" si="64"/>
        <v>1853.22</v>
      </c>
      <c r="L404" s="8">
        <v>200</v>
      </c>
      <c r="M404" s="8">
        <f t="shared" si="65"/>
        <v>208</v>
      </c>
      <c r="N404" s="11">
        <v>1</v>
      </c>
      <c r="O404" s="11">
        <f t="shared" si="66"/>
        <v>74.24759615384616</v>
      </c>
      <c r="P404" s="11">
        <f t="shared" si="67"/>
        <v>148.49519230769232</v>
      </c>
      <c r="Q404" s="11">
        <f t="shared" si="68"/>
        <v>148.49519230769232</v>
      </c>
      <c r="R404" s="8">
        <v>33271</v>
      </c>
      <c r="S404" s="11">
        <f t="shared" si="69"/>
        <v>37451</v>
      </c>
      <c r="T404" s="20">
        <f>S404/median_percentile!$B$1</f>
        <v>0.74309751282280223</v>
      </c>
      <c r="U404" s="24" t="str" cm="1">
        <f t="array" ref="U404">_xlfn.IFS(T404&lt;1,"underpaid",T404&gt;1,"overpaid",T404=1,"median pay")</f>
        <v>underpaid</v>
      </c>
      <c r="V404" s="5"/>
    </row>
    <row r="405" spans="1:22" x14ac:dyDescent="0.3">
      <c r="A405" s="22" t="s">
        <v>416</v>
      </c>
      <c r="B405" s="12" t="s">
        <v>1415</v>
      </c>
      <c r="C405" s="12" t="s">
        <v>2012</v>
      </c>
      <c r="D405" s="13">
        <v>45344</v>
      </c>
      <c r="E405" s="14">
        <f t="shared" si="60"/>
        <v>398304</v>
      </c>
      <c r="F405" s="12">
        <v>29262</v>
      </c>
      <c r="G405" s="12">
        <v>3930</v>
      </c>
      <c r="H405" s="15">
        <f t="shared" si="61"/>
        <v>14631</v>
      </c>
      <c r="I405" s="15">
        <f t="shared" si="62"/>
        <v>5852.4000000000005</v>
      </c>
      <c r="J405" s="15">
        <f t="shared" si="63"/>
        <v>8778.5999999999985</v>
      </c>
      <c r="K405" s="15">
        <f t="shared" si="64"/>
        <v>1755.72</v>
      </c>
      <c r="L405" s="12">
        <v>200</v>
      </c>
      <c r="M405" s="12">
        <f t="shared" si="65"/>
        <v>208</v>
      </c>
      <c r="N405" s="15">
        <v>1</v>
      </c>
      <c r="O405" s="15">
        <f t="shared" si="66"/>
        <v>70.34134615384616</v>
      </c>
      <c r="P405" s="15">
        <f t="shared" si="67"/>
        <v>140.68269230769232</v>
      </c>
      <c r="Q405" s="15">
        <f t="shared" si="68"/>
        <v>140.68269230769232</v>
      </c>
      <c r="R405" s="12">
        <v>31724</v>
      </c>
      <c r="S405" s="15">
        <f t="shared" si="69"/>
        <v>35654</v>
      </c>
      <c r="T405" s="20">
        <f>S405/median_percentile!$B$1</f>
        <v>0.70744168973282939</v>
      </c>
      <c r="U405" s="24" t="str" cm="1">
        <f t="array" ref="U405">_xlfn.IFS(T405&lt;1,"underpaid",T405&gt;1,"overpaid",T405=1,"median pay")</f>
        <v>underpaid</v>
      </c>
      <c r="V405" s="5"/>
    </row>
    <row r="406" spans="1:22" x14ac:dyDescent="0.3">
      <c r="A406" s="21" t="s">
        <v>417</v>
      </c>
      <c r="B406" s="8" t="s">
        <v>1416</v>
      </c>
      <c r="C406" s="8" t="s">
        <v>2013</v>
      </c>
      <c r="D406" s="9">
        <v>44563</v>
      </c>
      <c r="E406" s="10">
        <f t="shared" si="60"/>
        <v>473184</v>
      </c>
      <c r="F406" s="8">
        <v>33266</v>
      </c>
      <c r="G406" s="8">
        <v>6166</v>
      </c>
      <c r="H406" s="11">
        <f t="shared" si="61"/>
        <v>16633</v>
      </c>
      <c r="I406" s="11">
        <f t="shared" si="62"/>
        <v>6653.2000000000007</v>
      </c>
      <c r="J406" s="11">
        <f t="shared" si="63"/>
        <v>9979.7999999999993</v>
      </c>
      <c r="K406" s="11">
        <f t="shared" si="64"/>
        <v>1995.96</v>
      </c>
      <c r="L406" s="8">
        <v>200</v>
      </c>
      <c r="M406" s="8">
        <f t="shared" si="65"/>
        <v>208</v>
      </c>
      <c r="N406" s="11">
        <v>4</v>
      </c>
      <c r="O406" s="11">
        <f t="shared" si="66"/>
        <v>79.96634615384616</v>
      </c>
      <c r="P406" s="11">
        <f t="shared" si="67"/>
        <v>159.93269230769232</v>
      </c>
      <c r="Q406" s="11">
        <f t="shared" si="68"/>
        <v>639.73076923076928</v>
      </c>
      <c r="R406" s="8">
        <v>37237</v>
      </c>
      <c r="S406" s="11">
        <f t="shared" si="69"/>
        <v>43403</v>
      </c>
      <c r="T406" s="20">
        <f>S406/median_percentile!$B$1</f>
        <v>0.8611962657618778</v>
      </c>
      <c r="U406" s="24" t="str" cm="1">
        <f t="array" ref="U406">_xlfn.IFS(T406&lt;1,"underpaid",T406&gt;1,"overpaid",T406=1,"median pay")</f>
        <v>underpaid</v>
      </c>
      <c r="V406" s="5"/>
    </row>
    <row r="407" spans="1:22" x14ac:dyDescent="0.3">
      <c r="A407" s="22" t="s">
        <v>418</v>
      </c>
      <c r="B407" s="12" t="s">
        <v>1417</v>
      </c>
      <c r="C407" s="12" t="s">
        <v>2014</v>
      </c>
      <c r="D407" s="13">
        <v>45580</v>
      </c>
      <c r="E407" s="14">
        <f t="shared" si="60"/>
        <v>981396</v>
      </c>
      <c r="F407" s="12">
        <v>68479</v>
      </c>
      <c r="G407" s="12">
        <v>13304</v>
      </c>
      <c r="H407" s="15">
        <f t="shared" si="61"/>
        <v>34239.5</v>
      </c>
      <c r="I407" s="15">
        <f t="shared" si="62"/>
        <v>13695.800000000001</v>
      </c>
      <c r="J407" s="15">
        <f t="shared" si="63"/>
        <v>20543.699999999997</v>
      </c>
      <c r="K407" s="15">
        <f t="shared" si="64"/>
        <v>4108.74</v>
      </c>
      <c r="L407" s="12">
        <v>200</v>
      </c>
      <c r="M407" s="12">
        <f t="shared" si="65"/>
        <v>208</v>
      </c>
      <c r="N407" s="15">
        <v>0</v>
      </c>
      <c r="O407" s="15">
        <f t="shared" si="66"/>
        <v>164.61298076923077</v>
      </c>
      <c r="P407" s="15">
        <f t="shared" si="67"/>
        <v>329.22596153846155</v>
      </c>
      <c r="Q407" s="15">
        <f t="shared" si="68"/>
        <v>0</v>
      </c>
      <c r="R407" s="12">
        <v>78045</v>
      </c>
      <c r="S407" s="15">
        <f t="shared" si="69"/>
        <v>91349</v>
      </c>
      <c r="T407" s="20">
        <f>S407/median_percentile!$B$1</f>
        <v>1.8125341031975157</v>
      </c>
      <c r="U407" s="24" t="str" cm="1">
        <f t="array" ref="U407">_xlfn.IFS(T407&lt;1,"underpaid",T407&gt;1,"overpaid",T407=1,"median pay")</f>
        <v>overpaid</v>
      </c>
      <c r="V407" s="5"/>
    </row>
    <row r="408" spans="1:22" x14ac:dyDescent="0.3">
      <c r="A408" s="21" t="s">
        <v>419</v>
      </c>
      <c r="B408" s="8" t="s">
        <v>1418</v>
      </c>
      <c r="C408" s="8" t="s">
        <v>2011</v>
      </c>
      <c r="D408" s="9">
        <v>45677</v>
      </c>
      <c r="E408" s="10">
        <f t="shared" si="60"/>
        <v>555276</v>
      </c>
      <c r="F408" s="8">
        <v>40193</v>
      </c>
      <c r="G408" s="8">
        <v>6080</v>
      </c>
      <c r="H408" s="11">
        <f t="shared" si="61"/>
        <v>20096.5</v>
      </c>
      <c r="I408" s="11">
        <f t="shared" si="62"/>
        <v>8038.6</v>
      </c>
      <c r="J408" s="11">
        <f t="shared" si="63"/>
        <v>12057.900000000001</v>
      </c>
      <c r="K408" s="11">
        <f t="shared" si="64"/>
        <v>2411.58</v>
      </c>
      <c r="L408" s="8">
        <v>200</v>
      </c>
      <c r="M408" s="8">
        <f t="shared" si="65"/>
        <v>208</v>
      </c>
      <c r="N408" s="11">
        <v>4</v>
      </c>
      <c r="O408" s="11">
        <f t="shared" si="66"/>
        <v>96.617788461538467</v>
      </c>
      <c r="P408" s="11">
        <f t="shared" si="67"/>
        <v>193.23557692307693</v>
      </c>
      <c r="Q408" s="11">
        <f t="shared" si="68"/>
        <v>772.94230769230774</v>
      </c>
      <c r="R408" s="8">
        <v>43996</v>
      </c>
      <c r="S408" s="11">
        <f t="shared" si="69"/>
        <v>50076</v>
      </c>
      <c r="T408" s="20">
        <f>S408/median_percentile!$B$1</f>
        <v>0.99360100002976282</v>
      </c>
      <c r="U408" s="24" t="str" cm="1">
        <f t="array" ref="U408">_xlfn.IFS(T408&lt;1,"underpaid",T408&gt;1,"overpaid",T408=1,"median pay")</f>
        <v>underpaid</v>
      </c>
      <c r="V408" s="5"/>
    </row>
    <row r="409" spans="1:22" x14ac:dyDescent="0.3">
      <c r="A409" s="22" t="s">
        <v>420</v>
      </c>
      <c r="B409" s="12" t="s">
        <v>1419</v>
      </c>
      <c r="C409" s="12" t="s">
        <v>2015</v>
      </c>
      <c r="D409" s="13">
        <v>43569</v>
      </c>
      <c r="E409" s="14">
        <f t="shared" si="60"/>
        <v>669528</v>
      </c>
      <c r="F409" s="12">
        <v>50205</v>
      </c>
      <c r="G409" s="12">
        <v>5589</v>
      </c>
      <c r="H409" s="15">
        <f t="shared" si="61"/>
        <v>25102.5</v>
      </c>
      <c r="I409" s="15">
        <f t="shared" si="62"/>
        <v>10041</v>
      </c>
      <c r="J409" s="15">
        <f t="shared" si="63"/>
        <v>15061.5</v>
      </c>
      <c r="K409" s="15">
        <f t="shared" si="64"/>
        <v>3012.2999999999997</v>
      </c>
      <c r="L409" s="12">
        <v>200</v>
      </c>
      <c r="M409" s="12">
        <f t="shared" si="65"/>
        <v>208</v>
      </c>
      <c r="N409" s="15">
        <v>3</v>
      </c>
      <c r="O409" s="15">
        <f t="shared" si="66"/>
        <v>120.68509615384616</v>
      </c>
      <c r="P409" s="15">
        <f t="shared" si="67"/>
        <v>241.37019230769232</v>
      </c>
      <c r="Q409" s="15">
        <f t="shared" si="68"/>
        <v>724.11057692307691</v>
      </c>
      <c r="R409" s="12">
        <v>53418</v>
      </c>
      <c r="S409" s="15">
        <f t="shared" si="69"/>
        <v>59007</v>
      </c>
      <c r="T409" s="20">
        <f>S409/median_percentile!$B$1</f>
        <v>1.1708086550194947</v>
      </c>
      <c r="U409" s="24" t="str" cm="1">
        <f t="array" ref="U409">_xlfn.IFS(T409&lt;1,"underpaid",T409&gt;1,"overpaid",T409=1,"median pay")</f>
        <v>overpaid</v>
      </c>
      <c r="V409" s="5"/>
    </row>
    <row r="410" spans="1:22" x14ac:dyDescent="0.3">
      <c r="A410" s="21" t="s">
        <v>421</v>
      </c>
      <c r="B410" s="8" t="s">
        <v>1420</v>
      </c>
      <c r="C410" s="8" t="s">
        <v>2012</v>
      </c>
      <c r="D410" s="9">
        <v>44044</v>
      </c>
      <c r="E410" s="10">
        <f t="shared" si="60"/>
        <v>527472</v>
      </c>
      <c r="F410" s="8">
        <v>37453</v>
      </c>
      <c r="G410" s="8">
        <v>6503</v>
      </c>
      <c r="H410" s="11">
        <f t="shared" si="61"/>
        <v>18726.5</v>
      </c>
      <c r="I410" s="11">
        <f t="shared" si="62"/>
        <v>7490.6</v>
      </c>
      <c r="J410" s="11">
        <f t="shared" si="63"/>
        <v>11235.900000000001</v>
      </c>
      <c r="K410" s="11">
        <f t="shared" si="64"/>
        <v>2247.1799999999998</v>
      </c>
      <c r="L410" s="8">
        <v>200</v>
      </c>
      <c r="M410" s="8">
        <f t="shared" si="65"/>
        <v>208</v>
      </c>
      <c r="N410" s="11">
        <v>2</v>
      </c>
      <c r="O410" s="11">
        <f t="shared" si="66"/>
        <v>90.03125</v>
      </c>
      <c r="P410" s="11">
        <f t="shared" si="67"/>
        <v>180.0625</v>
      </c>
      <c r="Q410" s="11">
        <f t="shared" si="68"/>
        <v>360.125</v>
      </c>
      <c r="R410" s="8">
        <v>41509</v>
      </c>
      <c r="S410" s="11">
        <f t="shared" si="69"/>
        <v>48012</v>
      </c>
      <c r="T410" s="20">
        <f>S410/median_percentile!$B$1</f>
        <v>0.95264740022024463</v>
      </c>
      <c r="U410" s="24" t="str" cm="1">
        <f t="array" ref="U410">_xlfn.IFS(T410&lt;1,"underpaid",T410&gt;1,"overpaid",T410=1,"median pay")</f>
        <v>underpaid</v>
      </c>
      <c r="V410" s="5"/>
    </row>
    <row r="411" spans="1:22" x14ac:dyDescent="0.3">
      <c r="A411" s="22" t="s">
        <v>422</v>
      </c>
      <c r="B411" s="12" t="s">
        <v>1421</v>
      </c>
      <c r="C411" s="12" t="s">
        <v>2012</v>
      </c>
      <c r="D411" s="13">
        <v>43523</v>
      </c>
      <c r="E411" s="14">
        <f t="shared" si="60"/>
        <v>608172</v>
      </c>
      <c r="F411" s="12">
        <v>45050</v>
      </c>
      <c r="G411" s="12">
        <v>5631</v>
      </c>
      <c r="H411" s="15">
        <f t="shared" si="61"/>
        <v>22525</v>
      </c>
      <c r="I411" s="15">
        <f t="shared" si="62"/>
        <v>9010</v>
      </c>
      <c r="J411" s="15">
        <f t="shared" si="63"/>
        <v>13515</v>
      </c>
      <c r="K411" s="15">
        <f t="shared" si="64"/>
        <v>2703</v>
      </c>
      <c r="L411" s="12">
        <v>200</v>
      </c>
      <c r="M411" s="12">
        <f t="shared" si="65"/>
        <v>208</v>
      </c>
      <c r="N411" s="15">
        <v>0</v>
      </c>
      <c r="O411" s="15">
        <f t="shared" si="66"/>
        <v>108.29326923076923</v>
      </c>
      <c r="P411" s="15">
        <f t="shared" si="67"/>
        <v>216.58653846153845</v>
      </c>
      <c r="Q411" s="15">
        <f t="shared" si="68"/>
        <v>0</v>
      </c>
      <c r="R411" s="12">
        <v>48153</v>
      </c>
      <c r="S411" s="15">
        <f t="shared" si="69"/>
        <v>53784</v>
      </c>
      <c r="T411" s="20">
        <f>S411/median_percentile!$B$1</f>
        <v>1.0671746182922111</v>
      </c>
      <c r="U411" s="24" t="str" cm="1">
        <f t="array" ref="U411">_xlfn.IFS(T411&lt;1,"underpaid",T411&gt;1,"overpaid",T411=1,"median pay")</f>
        <v>overpaid</v>
      </c>
      <c r="V411" s="5"/>
    </row>
    <row r="412" spans="1:22" x14ac:dyDescent="0.3">
      <c r="A412" s="21" t="s">
        <v>423</v>
      </c>
      <c r="B412" s="8" t="s">
        <v>1422</v>
      </c>
      <c r="C412" s="8" t="s">
        <v>2014</v>
      </c>
      <c r="D412" s="9">
        <v>45824</v>
      </c>
      <c r="E412" s="10">
        <f t="shared" si="60"/>
        <v>517644</v>
      </c>
      <c r="F412" s="8">
        <v>36740</v>
      </c>
      <c r="G412" s="8">
        <v>6397</v>
      </c>
      <c r="H412" s="11">
        <f t="shared" si="61"/>
        <v>18370</v>
      </c>
      <c r="I412" s="11">
        <f t="shared" si="62"/>
        <v>7348</v>
      </c>
      <c r="J412" s="11">
        <f t="shared" si="63"/>
        <v>11022</v>
      </c>
      <c r="K412" s="11">
        <f t="shared" si="64"/>
        <v>2204.4</v>
      </c>
      <c r="L412" s="8">
        <v>200</v>
      </c>
      <c r="M412" s="8">
        <f t="shared" si="65"/>
        <v>208</v>
      </c>
      <c r="N412" s="11">
        <v>5</v>
      </c>
      <c r="O412" s="11">
        <f t="shared" si="66"/>
        <v>88.317307692307693</v>
      </c>
      <c r="P412" s="11">
        <f t="shared" si="67"/>
        <v>176.63461538461539</v>
      </c>
      <c r="Q412" s="11">
        <f t="shared" si="68"/>
        <v>883.17307692307691</v>
      </c>
      <c r="R412" s="8">
        <v>40733</v>
      </c>
      <c r="S412" s="11">
        <f t="shared" si="69"/>
        <v>47130</v>
      </c>
      <c r="T412" s="20">
        <f>S412/median_percentile!$B$1</f>
        <v>0.93514687937140983</v>
      </c>
      <c r="U412" s="24" t="str" cm="1">
        <f t="array" ref="U412">_xlfn.IFS(T412&lt;1,"underpaid",T412&gt;1,"overpaid",T412=1,"median pay")</f>
        <v>underpaid</v>
      </c>
      <c r="V412" s="5"/>
    </row>
    <row r="413" spans="1:22" x14ac:dyDescent="0.3">
      <c r="A413" s="22" t="s">
        <v>424</v>
      </c>
      <c r="B413" s="12" t="s">
        <v>1423</v>
      </c>
      <c r="C413" s="12" t="s">
        <v>2011</v>
      </c>
      <c r="D413" s="13">
        <v>45730</v>
      </c>
      <c r="E413" s="14">
        <f t="shared" si="60"/>
        <v>574248</v>
      </c>
      <c r="F413" s="12">
        <v>40570</v>
      </c>
      <c r="G413" s="12">
        <v>7284</v>
      </c>
      <c r="H413" s="15">
        <f t="shared" si="61"/>
        <v>20285</v>
      </c>
      <c r="I413" s="15">
        <f t="shared" si="62"/>
        <v>8114</v>
      </c>
      <c r="J413" s="15">
        <f t="shared" si="63"/>
        <v>12171</v>
      </c>
      <c r="K413" s="15">
        <f t="shared" si="64"/>
        <v>2434.1999999999998</v>
      </c>
      <c r="L413" s="12">
        <v>200</v>
      </c>
      <c r="M413" s="12">
        <f t="shared" si="65"/>
        <v>208</v>
      </c>
      <c r="N413" s="15">
        <v>3</v>
      </c>
      <c r="O413" s="15">
        <f t="shared" si="66"/>
        <v>97.524038461538467</v>
      </c>
      <c r="P413" s="15">
        <f t="shared" si="67"/>
        <v>195.04807692307693</v>
      </c>
      <c r="Q413" s="15">
        <f t="shared" si="68"/>
        <v>585.14423076923083</v>
      </c>
      <c r="R413" s="12">
        <v>45220</v>
      </c>
      <c r="S413" s="15">
        <f t="shared" si="69"/>
        <v>52504</v>
      </c>
      <c r="T413" s="20">
        <f>S413/median_percentile!$B$1</f>
        <v>1.0417770370149906</v>
      </c>
      <c r="U413" s="24" t="str" cm="1">
        <f t="array" ref="U413">_xlfn.IFS(T413&lt;1,"underpaid",T413&gt;1,"overpaid",T413=1,"median pay")</f>
        <v>overpaid</v>
      </c>
      <c r="V413" s="5"/>
    </row>
    <row r="414" spans="1:22" x14ac:dyDescent="0.3">
      <c r="A414" s="21" t="s">
        <v>425</v>
      </c>
      <c r="B414" s="8" t="s">
        <v>1424</v>
      </c>
      <c r="C414" s="8" t="s">
        <v>2014</v>
      </c>
      <c r="D414" s="9">
        <v>45318</v>
      </c>
      <c r="E414" s="10">
        <f t="shared" si="60"/>
        <v>602364</v>
      </c>
      <c r="F414" s="8">
        <v>43594</v>
      </c>
      <c r="G414" s="8">
        <v>6603</v>
      </c>
      <c r="H414" s="11">
        <f t="shared" si="61"/>
        <v>21797</v>
      </c>
      <c r="I414" s="11">
        <f t="shared" si="62"/>
        <v>8718.8000000000011</v>
      </c>
      <c r="J414" s="11">
        <f t="shared" si="63"/>
        <v>13078.199999999997</v>
      </c>
      <c r="K414" s="11">
        <f t="shared" si="64"/>
        <v>2615.64</v>
      </c>
      <c r="L414" s="8">
        <v>200</v>
      </c>
      <c r="M414" s="8">
        <f t="shared" si="65"/>
        <v>208</v>
      </c>
      <c r="N414" s="11">
        <v>3</v>
      </c>
      <c r="O414" s="11">
        <f t="shared" si="66"/>
        <v>104.79326923076923</v>
      </c>
      <c r="P414" s="11">
        <f t="shared" si="67"/>
        <v>209.58653846153845</v>
      </c>
      <c r="Q414" s="11">
        <f t="shared" si="68"/>
        <v>628.75961538461536</v>
      </c>
      <c r="R414" s="8">
        <v>47382</v>
      </c>
      <c r="S414" s="11">
        <f t="shared" si="69"/>
        <v>53985</v>
      </c>
      <c r="T414" s="20">
        <f>S414/median_percentile!$B$1</f>
        <v>1.0711628322271496</v>
      </c>
      <c r="U414" s="24" t="str" cm="1">
        <f t="array" ref="U414">_xlfn.IFS(T414&lt;1,"underpaid",T414&gt;1,"overpaid",T414=1,"median pay")</f>
        <v>overpaid</v>
      </c>
      <c r="V414" s="5"/>
    </row>
    <row r="415" spans="1:22" x14ac:dyDescent="0.3">
      <c r="A415" s="22" t="s">
        <v>426</v>
      </c>
      <c r="B415" s="12" t="s">
        <v>1425</v>
      </c>
      <c r="C415" s="12" t="s">
        <v>2016</v>
      </c>
      <c r="D415" s="13">
        <v>44728</v>
      </c>
      <c r="E415" s="14">
        <f t="shared" si="60"/>
        <v>426072</v>
      </c>
      <c r="F415" s="12">
        <v>30784</v>
      </c>
      <c r="G415" s="12">
        <v>4722</v>
      </c>
      <c r="H415" s="15">
        <f t="shared" si="61"/>
        <v>15392</v>
      </c>
      <c r="I415" s="15">
        <f t="shared" si="62"/>
        <v>6156.8</v>
      </c>
      <c r="J415" s="15">
        <f t="shared" si="63"/>
        <v>9235.2000000000007</v>
      </c>
      <c r="K415" s="15">
        <f t="shared" si="64"/>
        <v>1847.04</v>
      </c>
      <c r="L415" s="12">
        <v>200</v>
      </c>
      <c r="M415" s="12">
        <f t="shared" si="65"/>
        <v>208</v>
      </c>
      <c r="N415" s="15">
        <v>2</v>
      </c>
      <c r="O415" s="15">
        <f t="shared" si="66"/>
        <v>74</v>
      </c>
      <c r="P415" s="15">
        <f t="shared" si="67"/>
        <v>148</v>
      </c>
      <c r="Q415" s="15">
        <f t="shared" si="68"/>
        <v>296</v>
      </c>
      <c r="R415" s="12">
        <v>33459</v>
      </c>
      <c r="S415" s="15">
        <f t="shared" si="69"/>
        <v>38181</v>
      </c>
      <c r="T415" s="20">
        <f>S415/median_percentile!$B$1</f>
        <v>0.7575820708949671</v>
      </c>
      <c r="U415" s="24" t="str" cm="1">
        <f t="array" ref="U415">_xlfn.IFS(T415&lt;1,"underpaid",T415&gt;1,"overpaid",T415=1,"median pay")</f>
        <v>underpaid</v>
      </c>
      <c r="V415" s="5"/>
    </row>
    <row r="416" spans="1:22" x14ac:dyDescent="0.3">
      <c r="A416" s="21" t="s">
        <v>427</v>
      </c>
      <c r="B416" s="8" t="s">
        <v>1426</v>
      </c>
      <c r="C416" s="8" t="s">
        <v>2013</v>
      </c>
      <c r="D416" s="9">
        <v>45195</v>
      </c>
      <c r="E416" s="10">
        <f t="shared" si="60"/>
        <v>449544</v>
      </c>
      <c r="F416" s="8">
        <v>32883</v>
      </c>
      <c r="G416" s="8">
        <v>4579</v>
      </c>
      <c r="H416" s="11">
        <f t="shared" si="61"/>
        <v>16441.5</v>
      </c>
      <c r="I416" s="11">
        <f t="shared" si="62"/>
        <v>6576.6</v>
      </c>
      <c r="J416" s="11">
        <f t="shared" si="63"/>
        <v>9864.9000000000015</v>
      </c>
      <c r="K416" s="11">
        <f t="shared" si="64"/>
        <v>1972.98</v>
      </c>
      <c r="L416" s="8">
        <v>200</v>
      </c>
      <c r="M416" s="8">
        <f t="shared" si="65"/>
        <v>208</v>
      </c>
      <c r="N416" s="11">
        <v>4</v>
      </c>
      <c r="O416" s="11">
        <f t="shared" si="66"/>
        <v>79.04567307692308</v>
      </c>
      <c r="P416" s="11">
        <f t="shared" si="67"/>
        <v>158.09134615384616</v>
      </c>
      <c r="Q416" s="11">
        <f t="shared" si="68"/>
        <v>632.36538461538464</v>
      </c>
      <c r="R416" s="8">
        <v>35290</v>
      </c>
      <c r="S416" s="11">
        <f t="shared" si="69"/>
        <v>39869</v>
      </c>
      <c r="T416" s="20">
        <f>S416/median_percentile!$B$1</f>
        <v>0.79107513120430173</v>
      </c>
      <c r="U416" s="24" t="str" cm="1">
        <f t="array" ref="U416">_xlfn.IFS(T416&lt;1,"underpaid",T416&gt;1,"overpaid",T416=1,"median pay")</f>
        <v>underpaid</v>
      </c>
      <c r="V416" s="5"/>
    </row>
    <row r="417" spans="1:22" x14ac:dyDescent="0.3">
      <c r="A417" s="22" t="s">
        <v>428</v>
      </c>
      <c r="B417" s="12" t="s">
        <v>1427</v>
      </c>
      <c r="C417" s="12" t="s">
        <v>2016</v>
      </c>
      <c r="D417" s="13">
        <v>45396</v>
      </c>
      <c r="E417" s="14">
        <f t="shared" si="60"/>
        <v>505380</v>
      </c>
      <c r="F417" s="12">
        <v>36557</v>
      </c>
      <c r="G417" s="12">
        <v>5558</v>
      </c>
      <c r="H417" s="15">
        <f t="shared" si="61"/>
        <v>18278.5</v>
      </c>
      <c r="I417" s="15">
        <f t="shared" si="62"/>
        <v>7311.4000000000005</v>
      </c>
      <c r="J417" s="15">
        <f t="shared" si="63"/>
        <v>10967.099999999999</v>
      </c>
      <c r="K417" s="15">
        <f t="shared" si="64"/>
        <v>2193.42</v>
      </c>
      <c r="L417" s="12">
        <v>200</v>
      </c>
      <c r="M417" s="12">
        <f t="shared" si="65"/>
        <v>208</v>
      </c>
      <c r="N417" s="15">
        <v>2</v>
      </c>
      <c r="O417" s="15">
        <f t="shared" si="66"/>
        <v>87.87740384615384</v>
      </c>
      <c r="P417" s="15">
        <f t="shared" si="67"/>
        <v>175.75480769230768</v>
      </c>
      <c r="Q417" s="15">
        <f t="shared" si="68"/>
        <v>351.50961538461536</v>
      </c>
      <c r="R417" s="12">
        <v>40026</v>
      </c>
      <c r="S417" s="15">
        <f t="shared" si="69"/>
        <v>45584</v>
      </c>
      <c r="T417" s="20">
        <f>S417/median_percentile!$B$1</f>
        <v>0.90447136323501687</v>
      </c>
      <c r="U417" s="24" t="str" cm="1">
        <f t="array" ref="U417">_xlfn.IFS(T417&lt;1,"underpaid",T417&gt;1,"overpaid",T417=1,"median pay")</f>
        <v>underpaid</v>
      </c>
      <c r="V417" s="5"/>
    </row>
    <row r="418" spans="1:22" x14ac:dyDescent="0.3">
      <c r="A418" s="21" t="s">
        <v>429</v>
      </c>
      <c r="B418" s="8" t="s">
        <v>1428</v>
      </c>
      <c r="C418" s="8" t="s">
        <v>2013</v>
      </c>
      <c r="D418" s="9">
        <v>43974</v>
      </c>
      <c r="E418" s="10">
        <f t="shared" si="60"/>
        <v>445488</v>
      </c>
      <c r="F418" s="8">
        <v>32681</v>
      </c>
      <c r="G418" s="8">
        <v>4443</v>
      </c>
      <c r="H418" s="11">
        <f t="shared" si="61"/>
        <v>16340.5</v>
      </c>
      <c r="I418" s="11">
        <f t="shared" si="62"/>
        <v>6536.2000000000007</v>
      </c>
      <c r="J418" s="11">
        <f t="shared" si="63"/>
        <v>9804.2999999999993</v>
      </c>
      <c r="K418" s="11">
        <f t="shared" si="64"/>
        <v>1960.86</v>
      </c>
      <c r="L418" s="8">
        <v>200</v>
      </c>
      <c r="M418" s="8">
        <f t="shared" si="65"/>
        <v>208</v>
      </c>
      <c r="N418" s="11">
        <v>5</v>
      </c>
      <c r="O418" s="11">
        <f t="shared" si="66"/>
        <v>78.56009615384616</v>
      </c>
      <c r="P418" s="11">
        <f t="shared" si="67"/>
        <v>157.12019230769232</v>
      </c>
      <c r="Q418" s="11">
        <f t="shared" si="68"/>
        <v>785.60096153846166</v>
      </c>
      <c r="R418" s="8">
        <v>35236</v>
      </c>
      <c r="S418" s="11">
        <f t="shared" si="69"/>
        <v>39679</v>
      </c>
      <c r="T418" s="20">
        <f>S418/median_percentile!$B$1</f>
        <v>0.78730517773346431</v>
      </c>
      <c r="U418" s="24" t="str" cm="1">
        <f t="array" ref="U418">_xlfn.IFS(T418&lt;1,"underpaid",T418&gt;1,"overpaid",T418=1,"median pay")</f>
        <v>underpaid</v>
      </c>
      <c r="V418" s="5"/>
    </row>
    <row r="419" spans="1:22" x14ac:dyDescent="0.3">
      <c r="A419" s="22" t="s">
        <v>430</v>
      </c>
      <c r="B419" s="12" t="s">
        <v>1429</v>
      </c>
      <c r="C419" s="12" t="s">
        <v>2011</v>
      </c>
      <c r="D419" s="13">
        <v>44449</v>
      </c>
      <c r="E419" s="14">
        <f t="shared" si="60"/>
        <v>306960</v>
      </c>
      <c r="F419" s="12">
        <v>22728</v>
      </c>
      <c r="G419" s="12">
        <v>2852</v>
      </c>
      <c r="H419" s="15">
        <f t="shared" si="61"/>
        <v>11364</v>
      </c>
      <c r="I419" s="15">
        <f t="shared" si="62"/>
        <v>4545.6000000000004</v>
      </c>
      <c r="J419" s="15">
        <f t="shared" si="63"/>
        <v>6818.4</v>
      </c>
      <c r="K419" s="15">
        <f t="shared" si="64"/>
        <v>1363.6799999999998</v>
      </c>
      <c r="L419" s="12">
        <v>200</v>
      </c>
      <c r="M419" s="12">
        <f t="shared" si="65"/>
        <v>208</v>
      </c>
      <c r="N419" s="15">
        <v>0</v>
      </c>
      <c r="O419" s="15">
        <f t="shared" si="66"/>
        <v>54.634615384615387</v>
      </c>
      <c r="P419" s="15">
        <f t="shared" si="67"/>
        <v>109.26923076923077</v>
      </c>
      <c r="Q419" s="15">
        <f t="shared" si="68"/>
        <v>0</v>
      </c>
      <c r="R419" s="12">
        <v>24017</v>
      </c>
      <c r="S419" s="15">
        <f t="shared" si="69"/>
        <v>26869</v>
      </c>
      <c r="T419" s="20">
        <f>S419/median_percentile!$B$1</f>
        <v>0.53313094635753044</v>
      </c>
      <c r="U419" s="24" t="str" cm="1">
        <f t="array" ref="U419">_xlfn.IFS(T419&lt;1,"underpaid",T419&gt;1,"overpaid",T419=1,"median pay")</f>
        <v>underpaid</v>
      </c>
      <c r="V419" s="5"/>
    </row>
    <row r="420" spans="1:22" x14ac:dyDescent="0.3">
      <c r="A420" s="21" t="s">
        <v>431</v>
      </c>
      <c r="B420" s="8" t="s">
        <v>1430</v>
      </c>
      <c r="C420" s="8" t="s">
        <v>2013</v>
      </c>
      <c r="D420" s="9">
        <v>45140</v>
      </c>
      <c r="E420" s="10">
        <f t="shared" si="60"/>
        <v>790632</v>
      </c>
      <c r="F420" s="8">
        <v>55308</v>
      </c>
      <c r="G420" s="8">
        <v>10578</v>
      </c>
      <c r="H420" s="11">
        <f t="shared" si="61"/>
        <v>27654</v>
      </c>
      <c r="I420" s="11">
        <f t="shared" si="62"/>
        <v>11061.6</v>
      </c>
      <c r="J420" s="11">
        <f t="shared" si="63"/>
        <v>16592.400000000001</v>
      </c>
      <c r="K420" s="11">
        <f t="shared" si="64"/>
        <v>3318.48</v>
      </c>
      <c r="L420" s="8">
        <v>200</v>
      </c>
      <c r="M420" s="8">
        <f t="shared" si="65"/>
        <v>208</v>
      </c>
      <c r="N420" s="11">
        <v>1</v>
      </c>
      <c r="O420" s="11">
        <f t="shared" si="66"/>
        <v>132.95192307692307</v>
      </c>
      <c r="P420" s="11">
        <f t="shared" si="67"/>
        <v>265.90384615384613</v>
      </c>
      <c r="Q420" s="11">
        <f t="shared" si="68"/>
        <v>265.90384615384613</v>
      </c>
      <c r="R420" s="8">
        <v>63289</v>
      </c>
      <c r="S420" s="11">
        <f t="shared" si="69"/>
        <v>73867</v>
      </c>
      <c r="T420" s="20">
        <f>S420/median_percentile!$B$1</f>
        <v>1.465658700159727</v>
      </c>
      <c r="U420" s="24" t="str" cm="1">
        <f t="array" ref="U420">_xlfn.IFS(T420&lt;1,"underpaid",T420&gt;1,"overpaid",T420=1,"median pay")</f>
        <v>overpaid</v>
      </c>
      <c r="V420" s="5"/>
    </row>
    <row r="421" spans="1:22" x14ac:dyDescent="0.3">
      <c r="A421" s="22" t="s">
        <v>432</v>
      </c>
      <c r="B421" s="12" t="s">
        <v>1431</v>
      </c>
      <c r="C421" s="12" t="s">
        <v>2016</v>
      </c>
      <c r="D421" s="13">
        <v>45932</v>
      </c>
      <c r="E421" s="14">
        <f t="shared" si="60"/>
        <v>453672</v>
      </c>
      <c r="F421" s="12">
        <v>31722</v>
      </c>
      <c r="G421" s="12">
        <v>6084</v>
      </c>
      <c r="H421" s="15">
        <f t="shared" si="61"/>
        <v>15861</v>
      </c>
      <c r="I421" s="15">
        <f t="shared" si="62"/>
        <v>6344.4000000000005</v>
      </c>
      <c r="J421" s="15">
        <f t="shared" si="63"/>
        <v>9516.5999999999985</v>
      </c>
      <c r="K421" s="15">
        <f t="shared" si="64"/>
        <v>1903.32</v>
      </c>
      <c r="L421" s="12">
        <v>200</v>
      </c>
      <c r="M421" s="12">
        <f t="shared" si="65"/>
        <v>208</v>
      </c>
      <c r="N421" s="15">
        <v>0</v>
      </c>
      <c r="O421" s="15">
        <f t="shared" si="66"/>
        <v>76.254807692307693</v>
      </c>
      <c r="P421" s="15">
        <f t="shared" si="67"/>
        <v>152.50961538461539</v>
      </c>
      <c r="Q421" s="15">
        <f t="shared" si="68"/>
        <v>0</v>
      </c>
      <c r="R421" s="12">
        <v>36231</v>
      </c>
      <c r="S421" s="15">
        <f t="shared" si="69"/>
        <v>42315</v>
      </c>
      <c r="T421" s="20">
        <f>S421/median_percentile!$B$1</f>
        <v>0.83960832167624033</v>
      </c>
      <c r="U421" s="24" t="str" cm="1">
        <f t="array" ref="U421">_xlfn.IFS(T421&lt;1,"underpaid",T421&gt;1,"overpaid",T421=1,"median pay")</f>
        <v>underpaid</v>
      </c>
      <c r="V421" s="5"/>
    </row>
    <row r="422" spans="1:22" x14ac:dyDescent="0.3">
      <c r="A422" s="21" t="s">
        <v>433</v>
      </c>
      <c r="B422" s="8" t="s">
        <v>1432</v>
      </c>
      <c r="C422" s="8" t="s">
        <v>2015</v>
      </c>
      <c r="D422" s="9">
        <v>44926</v>
      </c>
      <c r="E422" s="10">
        <f t="shared" si="60"/>
        <v>439332</v>
      </c>
      <c r="F422" s="8">
        <v>30645</v>
      </c>
      <c r="G422" s="8">
        <v>5966</v>
      </c>
      <c r="H422" s="11">
        <f t="shared" si="61"/>
        <v>15322.5</v>
      </c>
      <c r="I422" s="11">
        <f t="shared" si="62"/>
        <v>6129</v>
      </c>
      <c r="J422" s="11">
        <f t="shared" si="63"/>
        <v>9193.5</v>
      </c>
      <c r="K422" s="11">
        <f t="shared" si="64"/>
        <v>1838.7</v>
      </c>
      <c r="L422" s="8">
        <v>200</v>
      </c>
      <c r="M422" s="8">
        <f t="shared" si="65"/>
        <v>208</v>
      </c>
      <c r="N422" s="11">
        <v>0</v>
      </c>
      <c r="O422" s="11">
        <f t="shared" si="66"/>
        <v>73.665865384615387</v>
      </c>
      <c r="P422" s="11">
        <f t="shared" si="67"/>
        <v>147.33173076923077</v>
      </c>
      <c r="Q422" s="11">
        <f t="shared" si="68"/>
        <v>0</v>
      </c>
      <c r="R422" s="8">
        <v>34573</v>
      </c>
      <c r="S422" s="11">
        <f t="shared" si="69"/>
        <v>40539</v>
      </c>
      <c r="T422" s="20">
        <f>S422/median_percentile!$B$1</f>
        <v>0.80436917765409688</v>
      </c>
      <c r="U422" s="24" t="str" cm="1">
        <f t="array" ref="U422">_xlfn.IFS(T422&lt;1,"underpaid",T422&gt;1,"overpaid",T422=1,"median pay")</f>
        <v>underpaid</v>
      </c>
      <c r="V422" s="5"/>
    </row>
    <row r="423" spans="1:22" x14ac:dyDescent="0.3">
      <c r="A423" s="22" t="s">
        <v>434</v>
      </c>
      <c r="B423" s="12" t="s">
        <v>1433</v>
      </c>
      <c r="C423" s="12" t="s">
        <v>2016</v>
      </c>
      <c r="D423" s="13">
        <v>43746</v>
      </c>
      <c r="E423" s="14">
        <f t="shared" si="60"/>
        <v>576852</v>
      </c>
      <c r="F423" s="12">
        <v>43217</v>
      </c>
      <c r="G423" s="12">
        <v>4854</v>
      </c>
      <c r="H423" s="15">
        <f t="shared" si="61"/>
        <v>21608.5</v>
      </c>
      <c r="I423" s="15">
        <f t="shared" si="62"/>
        <v>8643.4</v>
      </c>
      <c r="J423" s="15">
        <f t="shared" si="63"/>
        <v>12965.099999999999</v>
      </c>
      <c r="K423" s="15">
        <f t="shared" si="64"/>
        <v>2593.02</v>
      </c>
      <c r="L423" s="12">
        <v>200</v>
      </c>
      <c r="M423" s="12">
        <f t="shared" si="65"/>
        <v>208</v>
      </c>
      <c r="N423" s="15">
        <v>4</v>
      </c>
      <c r="O423" s="15">
        <f t="shared" si="66"/>
        <v>103.88701923076923</v>
      </c>
      <c r="P423" s="15">
        <f t="shared" si="67"/>
        <v>207.77403846153845</v>
      </c>
      <c r="Q423" s="15">
        <f t="shared" si="68"/>
        <v>831.09615384615381</v>
      </c>
      <c r="R423" s="12">
        <v>45279</v>
      </c>
      <c r="S423" s="15">
        <f t="shared" si="69"/>
        <v>50133</v>
      </c>
      <c r="T423" s="20">
        <f>S423/median_percentile!$B$1</f>
        <v>0.99473198607101398</v>
      </c>
      <c r="U423" s="24" t="str" cm="1">
        <f t="array" ref="U423">_xlfn.IFS(T423&lt;1,"underpaid",T423&gt;1,"overpaid",T423=1,"median pay")</f>
        <v>underpaid</v>
      </c>
      <c r="V423" s="5"/>
    </row>
    <row r="424" spans="1:22" x14ac:dyDescent="0.3">
      <c r="A424" s="21" t="s">
        <v>435</v>
      </c>
      <c r="B424" s="8" t="s">
        <v>1434</v>
      </c>
      <c r="C424" s="8" t="s">
        <v>2016</v>
      </c>
      <c r="D424" s="9">
        <v>44773</v>
      </c>
      <c r="E424" s="10">
        <f t="shared" si="60"/>
        <v>359604</v>
      </c>
      <c r="F424" s="8">
        <v>26949</v>
      </c>
      <c r="G424" s="8">
        <v>3018</v>
      </c>
      <c r="H424" s="11">
        <f t="shared" si="61"/>
        <v>13474.5</v>
      </c>
      <c r="I424" s="11">
        <f t="shared" si="62"/>
        <v>5389.8</v>
      </c>
      <c r="J424" s="11">
        <f t="shared" si="63"/>
        <v>8084.7000000000007</v>
      </c>
      <c r="K424" s="11">
        <f t="shared" si="64"/>
        <v>1616.9399999999998</v>
      </c>
      <c r="L424" s="8">
        <v>200</v>
      </c>
      <c r="M424" s="8">
        <f t="shared" si="65"/>
        <v>208</v>
      </c>
      <c r="N424" s="11">
        <v>2</v>
      </c>
      <c r="O424" s="11">
        <f t="shared" si="66"/>
        <v>64.78125</v>
      </c>
      <c r="P424" s="11">
        <f t="shared" si="67"/>
        <v>129.5625</v>
      </c>
      <c r="Q424" s="11">
        <f t="shared" si="68"/>
        <v>259.125</v>
      </c>
      <c r="R424" s="8">
        <v>28600</v>
      </c>
      <c r="S424" s="11">
        <f t="shared" si="69"/>
        <v>31618</v>
      </c>
      <c r="T424" s="20">
        <f>S424/median_percentile!$B$1</f>
        <v>0.62735994126809325</v>
      </c>
      <c r="U424" s="24" t="str" cm="1">
        <f t="array" ref="U424">_xlfn.IFS(T424&lt;1,"underpaid",T424&gt;1,"overpaid",T424=1,"median pay")</f>
        <v>underpaid</v>
      </c>
      <c r="V424" s="5"/>
    </row>
    <row r="425" spans="1:22" x14ac:dyDescent="0.3">
      <c r="A425" s="22" t="s">
        <v>436</v>
      </c>
      <c r="B425" s="12" t="s">
        <v>1435</v>
      </c>
      <c r="C425" s="12" t="s">
        <v>2015</v>
      </c>
      <c r="D425" s="13">
        <v>43655</v>
      </c>
      <c r="E425" s="14">
        <f t="shared" si="60"/>
        <v>676536</v>
      </c>
      <c r="F425" s="12">
        <v>48393</v>
      </c>
      <c r="G425" s="12">
        <v>7985</v>
      </c>
      <c r="H425" s="15">
        <f t="shared" si="61"/>
        <v>24196.5</v>
      </c>
      <c r="I425" s="15">
        <f t="shared" si="62"/>
        <v>9678.6</v>
      </c>
      <c r="J425" s="15">
        <f t="shared" si="63"/>
        <v>14517.900000000001</v>
      </c>
      <c r="K425" s="15">
        <f t="shared" si="64"/>
        <v>2903.58</v>
      </c>
      <c r="L425" s="12">
        <v>200</v>
      </c>
      <c r="M425" s="12">
        <f t="shared" si="65"/>
        <v>208</v>
      </c>
      <c r="N425" s="15">
        <v>2</v>
      </c>
      <c r="O425" s="15">
        <f t="shared" si="66"/>
        <v>116.32932692307692</v>
      </c>
      <c r="P425" s="15">
        <f t="shared" si="67"/>
        <v>232.65865384615384</v>
      </c>
      <c r="Q425" s="15">
        <f t="shared" si="68"/>
        <v>465.31730769230768</v>
      </c>
      <c r="R425" s="12">
        <v>54081</v>
      </c>
      <c r="S425" s="15">
        <f t="shared" si="69"/>
        <v>62066</v>
      </c>
      <c r="T425" s="20">
        <f>S425/median_percentile!$B$1</f>
        <v>1.2315049058999772</v>
      </c>
      <c r="U425" s="24" t="str" cm="1">
        <f t="array" ref="U425">_xlfn.IFS(T425&lt;1,"underpaid",T425&gt;1,"overpaid",T425=1,"median pay")</f>
        <v>overpaid</v>
      </c>
      <c r="V425" s="5"/>
    </row>
    <row r="426" spans="1:22" x14ac:dyDescent="0.3">
      <c r="A426" s="21" t="s">
        <v>437</v>
      </c>
      <c r="B426" s="8" t="s">
        <v>1436</v>
      </c>
      <c r="C426" s="8" t="s">
        <v>2016</v>
      </c>
      <c r="D426" s="9">
        <v>44415</v>
      </c>
      <c r="E426" s="10">
        <f t="shared" si="60"/>
        <v>533268</v>
      </c>
      <c r="F426" s="8">
        <v>38447</v>
      </c>
      <c r="G426" s="8">
        <v>5992</v>
      </c>
      <c r="H426" s="11">
        <f t="shared" si="61"/>
        <v>19223.5</v>
      </c>
      <c r="I426" s="11">
        <f t="shared" si="62"/>
        <v>7689.4000000000005</v>
      </c>
      <c r="J426" s="11">
        <f t="shared" si="63"/>
        <v>11534.099999999999</v>
      </c>
      <c r="K426" s="11">
        <f t="shared" si="64"/>
        <v>2306.8199999999997</v>
      </c>
      <c r="L426" s="8">
        <v>200</v>
      </c>
      <c r="M426" s="8">
        <f t="shared" si="65"/>
        <v>208</v>
      </c>
      <c r="N426" s="11">
        <v>0</v>
      </c>
      <c r="O426" s="11">
        <f t="shared" si="66"/>
        <v>92.42067307692308</v>
      </c>
      <c r="P426" s="11">
        <f t="shared" si="67"/>
        <v>184.84134615384616</v>
      </c>
      <c r="Q426" s="11">
        <f t="shared" si="68"/>
        <v>0</v>
      </c>
      <c r="R426" s="8">
        <v>41933</v>
      </c>
      <c r="S426" s="11">
        <f t="shared" si="69"/>
        <v>47925</v>
      </c>
      <c r="T426" s="20">
        <f>S426/median_percentile!$B$1</f>
        <v>0.95092115836780855</v>
      </c>
      <c r="U426" s="24" t="str" cm="1">
        <f t="array" ref="U426">_xlfn.IFS(T426&lt;1,"underpaid",T426&gt;1,"overpaid",T426=1,"median pay")</f>
        <v>underpaid</v>
      </c>
      <c r="V426" s="5"/>
    </row>
    <row r="427" spans="1:22" x14ac:dyDescent="0.3">
      <c r="A427" s="22" t="s">
        <v>438</v>
      </c>
      <c r="B427" s="12" t="s">
        <v>1437</v>
      </c>
      <c r="C427" s="12" t="s">
        <v>2015</v>
      </c>
      <c r="D427" s="13">
        <v>45844</v>
      </c>
      <c r="E427" s="14">
        <f t="shared" si="60"/>
        <v>484860</v>
      </c>
      <c r="F427" s="12">
        <v>33878</v>
      </c>
      <c r="G427" s="12">
        <v>6527</v>
      </c>
      <c r="H427" s="15">
        <f t="shared" si="61"/>
        <v>16939</v>
      </c>
      <c r="I427" s="15">
        <f t="shared" si="62"/>
        <v>6775.6</v>
      </c>
      <c r="J427" s="15">
        <f t="shared" si="63"/>
        <v>10163.400000000001</v>
      </c>
      <c r="K427" s="15">
        <f t="shared" si="64"/>
        <v>2032.6799999999998</v>
      </c>
      <c r="L427" s="12">
        <v>200</v>
      </c>
      <c r="M427" s="12">
        <f t="shared" si="65"/>
        <v>208</v>
      </c>
      <c r="N427" s="15">
        <v>2</v>
      </c>
      <c r="O427" s="15">
        <f t="shared" si="66"/>
        <v>81.4375</v>
      </c>
      <c r="P427" s="15">
        <f t="shared" si="67"/>
        <v>162.875</v>
      </c>
      <c r="Q427" s="15">
        <f t="shared" si="68"/>
        <v>325.75</v>
      </c>
      <c r="R427" s="12">
        <v>38173</v>
      </c>
      <c r="S427" s="15">
        <f t="shared" si="69"/>
        <v>44700</v>
      </c>
      <c r="T427" s="20">
        <f>S427/median_percentile!$B$1</f>
        <v>0.88693115866543648</v>
      </c>
      <c r="U427" s="24" t="str" cm="1">
        <f t="array" ref="U427">_xlfn.IFS(T427&lt;1,"underpaid",T427&gt;1,"overpaid",T427=1,"median pay")</f>
        <v>underpaid</v>
      </c>
      <c r="V427" s="5"/>
    </row>
    <row r="428" spans="1:22" x14ac:dyDescent="0.3">
      <c r="A428" s="21" t="s">
        <v>439</v>
      </c>
      <c r="B428" s="8" t="s">
        <v>1438</v>
      </c>
      <c r="C428" s="8" t="s">
        <v>2013</v>
      </c>
      <c r="D428" s="9">
        <v>43711</v>
      </c>
      <c r="E428" s="10">
        <f t="shared" si="60"/>
        <v>797916</v>
      </c>
      <c r="F428" s="8">
        <v>59758</v>
      </c>
      <c r="G428" s="8">
        <v>6735</v>
      </c>
      <c r="H428" s="11">
        <f t="shared" si="61"/>
        <v>29879</v>
      </c>
      <c r="I428" s="11">
        <f t="shared" si="62"/>
        <v>11951.6</v>
      </c>
      <c r="J428" s="11">
        <f t="shared" si="63"/>
        <v>17927.400000000001</v>
      </c>
      <c r="K428" s="11">
        <f t="shared" si="64"/>
        <v>3585.48</v>
      </c>
      <c r="L428" s="8">
        <v>200</v>
      </c>
      <c r="M428" s="8">
        <f t="shared" si="65"/>
        <v>208</v>
      </c>
      <c r="N428" s="11">
        <v>0</v>
      </c>
      <c r="O428" s="11">
        <f t="shared" si="66"/>
        <v>143.64903846153845</v>
      </c>
      <c r="P428" s="11">
        <f t="shared" si="67"/>
        <v>287.29807692307691</v>
      </c>
      <c r="Q428" s="11">
        <f t="shared" si="68"/>
        <v>0</v>
      </c>
      <c r="R428" s="8">
        <v>62708</v>
      </c>
      <c r="S428" s="11">
        <f t="shared" si="69"/>
        <v>69443</v>
      </c>
      <c r="T428" s="20">
        <f>S428/median_percentile!$B$1</f>
        <v>1.3778783098703336</v>
      </c>
      <c r="U428" s="24" t="str" cm="1">
        <f t="array" ref="U428">_xlfn.IFS(T428&lt;1,"underpaid",T428&gt;1,"overpaid",T428=1,"median pay")</f>
        <v>overpaid</v>
      </c>
      <c r="V428" s="5"/>
    </row>
    <row r="429" spans="1:22" x14ac:dyDescent="0.3">
      <c r="A429" s="22" t="s">
        <v>440</v>
      </c>
      <c r="B429" s="12" t="s">
        <v>1439</v>
      </c>
      <c r="C429" s="12" t="s">
        <v>2015</v>
      </c>
      <c r="D429" s="13">
        <v>45967</v>
      </c>
      <c r="E429" s="14">
        <f t="shared" si="60"/>
        <v>437244</v>
      </c>
      <c r="F429" s="12">
        <v>30396</v>
      </c>
      <c r="G429" s="12">
        <v>6041</v>
      </c>
      <c r="H429" s="15">
        <f t="shared" si="61"/>
        <v>15198</v>
      </c>
      <c r="I429" s="15">
        <f t="shared" si="62"/>
        <v>6079.2000000000007</v>
      </c>
      <c r="J429" s="15">
        <f t="shared" si="63"/>
        <v>9118.7999999999993</v>
      </c>
      <c r="K429" s="15">
        <f t="shared" si="64"/>
        <v>1823.76</v>
      </c>
      <c r="L429" s="12">
        <v>200</v>
      </c>
      <c r="M429" s="12">
        <f t="shared" si="65"/>
        <v>208</v>
      </c>
      <c r="N429" s="15">
        <v>4</v>
      </c>
      <c r="O429" s="15">
        <f t="shared" si="66"/>
        <v>73.067307692307693</v>
      </c>
      <c r="P429" s="15">
        <f t="shared" si="67"/>
        <v>146.13461538461539</v>
      </c>
      <c r="Q429" s="15">
        <f t="shared" si="68"/>
        <v>584.53846153846155</v>
      </c>
      <c r="R429" s="12">
        <v>34414</v>
      </c>
      <c r="S429" s="15">
        <f t="shared" si="69"/>
        <v>40455</v>
      </c>
      <c r="T429" s="20">
        <f>S429/median_percentile!$B$1</f>
        <v>0.80270246138277923</v>
      </c>
      <c r="U429" s="24" t="str" cm="1">
        <f t="array" ref="U429">_xlfn.IFS(T429&lt;1,"underpaid",T429&gt;1,"overpaid",T429=1,"median pay")</f>
        <v>underpaid</v>
      </c>
      <c r="V429" s="5"/>
    </row>
    <row r="430" spans="1:22" x14ac:dyDescent="0.3">
      <c r="A430" s="21" t="s">
        <v>441</v>
      </c>
      <c r="B430" s="8" t="s">
        <v>1440</v>
      </c>
      <c r="C430" s="8" t="s">
        <v>2016</v>
      </c>
      <c r="D430" s="9">
        <v>43995</v>
      </c>
      <c r="E430" s="10">
        <f t="shared" si="60"/>
        <v>651588</v>
      </c>
      <c r="F430" s="8">
        <v>46929</v>
      </c>
      <c r="G430" s="8">
        <v>7370</v>
      </c>
      <c r="H430" s="11">
        <f t="shared" si="61"/>
        <v>23464.5</v>
      </c>
      <c r="I430" s="11">
        <f t="shared" si="62"/>
        <v>9385.8000000000011</v>
      </c>
      <c r="J430" s="11">
        <f t="shared" si="63"/>
        <v>14078.699999999997</v>
      </c>
      <c r="K430" s="11">
        <f t="shared" si="64"/>
        <v>2815.74</v>
      </c>
      <c r="L430" s="8">
        <v>200</v>
      </c>
      <c r="M430" s="8">
        <f t="shared" si="65"/>
        <v>208</v>
      </c>
      <c r="N430" s="11">
        <v>0</v>
      </c>
      <c r="O430" s="11">
        <f t="shared" si="66"/>
        <v>112.81009615384616</v>
      </c>
      <c r="P430" s="11">
        <f t="shared" si="67"/>
        <v>225.62019230769232</v>
      </c>
      <c r="Q430" s="11">
        <f t="shared" si="68"/>
        <v>0</v>
      </c>
      <c r="R430" s="8">
        <v>51284</v>
      </c>
      <c r="S430" s="11">
        <f t="shared" si="69"/>
        <v>58654</v>
      </c>
      <c r="T430" s="20">
        <f>S430/median_percentile!$B$1</f>
        <v>1.1638044783078862</v>
      </c>
      <c r="U430" s="24" t="str" cm="1">
        <f t="array" ref="U430">_xlfn.IFS(T430&lt;1,"underpaid",T430&gt;1,"overpaid",T430=1,"median pay")</f>
        <v>overpaid</v>
      </c>
      <c r="V430" s="5"/>
    </row>
    <row r="431" spans="1:22" x14ac:dyDescent="0.3">
      <c r="A431" s="22" t="s">
        <v>442</v>
      </c>
      <c r="B431" s="12" t="s">
        <v>1441</v>
      </c>
      <c r="C431" s="12" t="s">
        <v>2015</v>
      </c>
      <c r="D431" s="13">
        <v>43469</v>
      </c>
      <c r="E431" s="14">
        <f t="shared" si="60"/>
        <v>445092</v>
      </c>
      <c r="F431" s="12">
        <v>32768</v>
      </c>
      <c r="G431" s="12">
        <v>4323</v>
      </c>
      <c r="H431" s="15">
        <f t="shared" si="61"/>
        <v>16384</v>
      </c>
      <c r="I431" s="15">
        <f t="shared" si="62"/>
        <v>6553.6</v>
      </c>
      <c r="J431" s="15">
        <f t="shared" si="63"/>
        <v>9830.4000000000015</v>
      </c>
      <c r="K431" s="15">
        <f t="shared" si="64"/>
        <v>1966.08</v>
      </c>
      <c r="L431" s="12">
        <v>200</v>
      </c>
      <c r="M431" s="12">
        <f t="shared" si="65"/>
        <v>208</v>
      </c>
      <c r="N431" s="15">
        <v>5</v>
      </c>
      <c r="O431" s="15">
        <f t="shared" si="66"/>
        <v>78.769230769230774</v>
      </c>
      <c r="P431" s="15">
        <f t="shared" si="67"/>
        <v>157.53846153846155</v>
      </c>
      <c r="Q431" s="15">
        <f t="shared" si="68"/>
        <v>787.69230769230774</v>
      </c>
      <c r="R431" s="12">
        <v>34925</v>
      </c>
      <c r="S431" s="15">
        <f t="shared" si="69"/>
        <v>39248</v>
      </c>
      <c r="T431" s="20">
        <f>S431/median_percentile!$B$1</f>
        <v>0.77875333591277518</v>
      </c>
      <c r="U431" s="24" t="str" cm="1">
        <f t="array" ref="U431">_xlfn.IFS(T431&lt;1,"underpaid",T431&gt;1,"overpaid",T431=1,"median pay")</f>
        <v>underpaid</v>
      </c>
      <c r="V431" s="5"/>
    </row>
    <row r="432" spans="1:22" x14ac:dyDescent="0.3">
      <c r="A432" s="21" t="s">
        <v>443</v>
      </c>
      <c r="B432" s="8" t="s">
        <v>1442</v>
      </c>
      <c r="C432" s="8" t="s">
        <v>2016</v>
      </c>
      <c r="D432" s="9">
        <v>43681</v>
      </c>
      <c r="E432" s="10">
        <f t="shared" si="60"/>
        <v>654408</v>
      </c>
      <c r="F432" s="8">
        <v>48537</v>
      </c>
      <c r="G432" s="8">
        <v>5997</v>
      </c>
      <c r="H432" s="11">
        <f t="shared" si="61"/>
        <v>24268.5</v>
      </c>
      <c r="I432" s="11">
        <f t="shared" si="62"/>
        <v>9707.4</v>
      </c>
      <c r="J432" s="11">
        <f t="shared" si="63"/>
        <v>14561.099999999999</v>
      </c>
      <c r="K432" s="11">
        <f t="shared" si="64"/>
        <v>2912.22</v>
      </c>
      <c r="L432" s="8">
        <v>200</v>
      </c>
      <c r="M432" s="8">
        <f t="shared" si="65"/>
        <v>208</v>
      </c>
      <c r="N432" s="11">
        <v>2</v>
      </c>
      <c r="O432" s="11">
        <f t="shared" si="66"/>
        <v>116.67548076923077</v>
      </c>
      <c r="P432" s="11">
        <f t="shared" si="67"/>
        <v>233.35096153846155</v>
      </c>
      <c r="Q432" s="11">
        <f t="shared" si="68"/>
        <v>466.70192307692309</v>
      </c>
      <c r="R432" s="8">
        <v>52230</v>
      </c>
      <c r="S432" s="11">
        <f t="shared" si="69"/>
        <v>58227</v>
      </c>
      <c r="T432" s="20">
        <f>S432/median_percentile!$B$1</f>
        <v>1.1553320039286883</v>
      </c>
      <c r="U432" s="24" t="str" cm="1">
        <f t="array" ref="U432">_xlfn.IFS(T432&lt;1,"underpaid",T432&gt;1,"overpaid",T432=1,"median pay")</f>
        <v>overpaid</v>
      </c>
      <c r="V432" s="5"/>
    </row>
    <row r="433" spans="1:22" x14ac:dyDescent="0.3">
      <c r="A433" s="22" t="s">
        <v>444</v>
      </c>
      <c r="B433" s="12" t="s">
        <v>1443</v>
      </c>
      <c r="C433" s="12" t="s">
        <v>2013</v>
      </c>
      <c r="D433" s="13">
        <v>45174</v>
      </c>
      <c r="E433" s="14">
        <f t="shared" si="60"/>
        <v>672792</v>
      </c>
      <c r="F433" s="12">
        <v>48963</v>
      </c>
      <c r="G433" s="12">
        <v>7103</v>
      </c>
      <c r="H433" s="15">
        <f t="shared" si="61"/>
        <v>24481.5</v>
      </c>
      <c r="I433" s="15">
        <f t="shared" si="62"/>
        <v>9792.6</v>
      </c>
      <c r="J433" s="15">
        <f t="shared" si="63"/>
        <v>14688.900000000001</v>
      </c>
      <c r="K433" s="15">
        <f t="shared" si="64"/>
        <v>2937.7799999999997</v>
      </c>
      <c r="L433" s="12">
        <v>200</v>
      </c>
      <c r="M433" s="12">
        <f t="shared" si="65"/>
        <v>208</v>
      </c>
      <c r="N433" s="15">
        <v>5</v>
      </c>
      <c r="O433" s="15">
        <f t="shared" si="66"/>
        <v>117.69951923076923</v>
      </c>
      <c r="P433" s="15">
        <f t="shared" si="67"/>
        <v>235.39903846153845</v>
      </c>
      <c r="Q433" s="15">
        <f t="shared" si="68"/>
        <v>1176.9951923076924</v>
      </c>
      <c r="R433" s="12">
        <v>52929</v>
      </c>
      <c r="S433" s="15">
        <f t="shared" si="69"/>
        <v>60032</v>
      </c>
      <c r="T433" s="20">
        <f>S433/median_percentile!$B$1</f>
        <v>1.1911465619016439</v>
      </c>
      <c r="U433" s="24" t="str" cm="1">
        <f t="array" ref="U433">_xlfn.IFS(T433&lt;1,"underpaid",T433&gt;1,"overpaid",T433=1,"median pay")</f>
        <v>overpaid</v>
      </c>
      <c r="V433" s="5"/>
    </row>
    <row r="434" spans="1:22" x14ac:dyDescent="0.3">
      <c r="A434" s="21" t="s">
        <v>445</v>
      </c>
      <c r="B434" s="8" t="s">
        <v>1444</v>
      </c>
      <c r="C434" s="8" t="s">
        <v>2014</v>
      </c>
      <c r="D434" s="9">
        <v>43811</v>
      </c>
      <c r="E434" s="10">
        <f t="shared" si="60"/>
        <v>622764</v>
      </c>
      <c r="F434" s="8">
        <v>45974</v>
      </c>
      <c r="G434" s="8">
        <v>5923</v>
      </c>
      <c r="H434" s="11">
        <f t="shared" si="61"/>
        <v>22987</v>
      </c>
      <c r="I434" s="11">
        <f t="shared" si="62"/>
        <v>9194.8000000000011</v>
      </c>
      <c r="J434" s="11">
        <f t="shared" si="63"/>
        <v>13792.199999999997</v>
      </c>
      <c r="K434" s="11">
        <f t="shared" si="64"/>
        <v>2758.44</v>
      </c>
      <c r="L434" s="8">
        <v>200</v>
      </c>
      <c r="M434" s="8">
        <f t="shared" si="65"/>
        <v>208</v>
      </c>
      <c r="N434" s="11">
        <v>1</v>
      </c>
      <c r="O434" s="11">
        <f t="shared" si="66"/>
        <v>110.51442307692308</v>
      </c>
      <c r="P434" s="11">
        <f t="shared" si="67"/>
        <v>221.02884615384616</v>
      </c>
      <c r="Q434" s="11">
        <f t="shared" si="68"/>
        <v>221.02884615384616</v>
      </c>
      <c r="R434" s="8">
        <v>49322</v>
      </c>
      <c r="S434" s="11">
        <f t="shared" si="69"/>
        <v>55245</v>
      </c>
      <c r="T434" s="20">
        <f>S434/median_percentile!$B$1</f>
        <v>1.0961635762969135</v>
      </c>
      <c r="U434" s="24" t="str" cm="1">
        <f t="array" ref="U434">_xlfn.IFS(T434&lt;1,"underpaid",T434&gt;1,"overpaid",T434=1,"median pay")</f>
        <v>overpaid</v>
      </c>
      <c r="V434" s="5"/>
    </row>
    <row r="435" spans="1:22" x14ac:dyDescent="0.3">
      <c r="A435" s="22" t="s">
        <v>446</v>
      </c>
      <c r="B435" s="12" t="s">
        <v>1445</v>
      </c>
      <c r="C435" s="12" t="s">
        <v>2014</v>
      </c>
      <c r="D435" s="13">
        <v>45865</v>
      </c>
      <c r="E435" s="14">
        <f t="shared" si="60"/>
        <v>554844</v>
      </c>
      <c r="F435" s="12">
        <v>39512</v>
      </c>
      <c r="G435" s="12">
        <v>6725</v>
      </c>
      <c r="H435" s="15">
        <f t="shared" si="61"/>
        <v>19756</v>
      </c>
      <c r="I435" s="15">
        <f t="shared" si="62"/>
        <v>7902.4000000000005</v>
      </c>
      <c r="J435" s="15">
        <f t="shared" si="63"/>
        <v>11853.599999999999</v>
      </c>
      <c r="K435" s="15">
        <f t="shared" si="64"/>
        <v>2370.7199999999998</v>
      </c>
      <c r="L435" s="12">
        <v>200</v>
      </c>
      <c r="M435" s="12">
        <f t="shared" si="65"/>
        <v>208</v>
      </c>
      <c r="N435" s="15">
        <v>5</v>
      </c>
      <c r="O435" s="15">
        <f t="shared" si="66"/>
        <v>94.980769230769226</v>
      </c>
      <c r="P435" s="15">
        <f t="shared" si="67"/>
        <v>189.96153846153845</v>
      </c>
      <c r="Q435" s="15">
        <f t="shared" si="68"/>
        <v>949.80769230769226</v>
      </c>
      <c r="R435" s="12">
        <v>43667</v>
      </c>
      <c r="S435" s="15">
        <f t="shared" si="69"/>
        <v>50392</v>
      </c>
      <c r="T435" s="20">
        <f>S435/median_percentile!$B$1</f>
        <v>0.99987102790757665</v>
      </c>
      <c r="U435" s="24" t="str" cm="1">
        <f t="array" ref="U435">_xlfn.IFS(T435&lt;1,"underpaid",T435&gt;1,"overpaid",T435=1,"median pay")</f>
        <v>underpaid</v>
      </c>
      <c r="V435" s="5"/>
    </row>
    <row r="436" spans="1:22" x14ac:dyDescent="0.3">
      <c r="A436" s="21" t="s">
        <v>447</v>
      </c>
      <c r="B436" s="8" t="s">
        <v>1446</v>
      </c>
      <c r="C436" s="8" t="s">
        <v>2011</v>
      </c>
      <c r="D436" s="9">
        <v>43492</v>
      </c>
      <c r="E436" s="10">
        <f t="shared" si="60"/>
        <v>342696</v>
      </c>
      <c r="F436" s="8">
        <v>25205</v>
      </c>
      <c r="G436" s="8">
        <v>3353</v>
      </c>
      <c r="H436" s="11">
        <f t="shared" si="61"/>
        <v>12602.5</v>
      </c>
      <c r="I436" s="11">
        <f t="shared" si="62"/>
        <v>5041</v>
      </c>
      <c r="J436" s="11">
        <f t="shared" si="63"/>
        <v>7561.5</v>
      </c>
      <c r="K436" s="11">
        <f t="shared" si="64"/>
        <v>1512.3</v>
      </c>
      <c r="L436" s="8">
        <v>200</v>
      </c>
      <c r="M436" s="8">
        <f t="shared" si="65"/>
        <v>208</v>
      </c>
      <c r="N436" s="11">
        <v>1</v>
      </c>
      <c r="O436" s="11">
        <f t="shared" si="66"/>
        <v>60.588942307692307</v>
      </c>
      <c r="P436" s="11">
        <f t="shared" si="67"/>
        <v>121.17788461538461</v>
      </c>
      <c r="Q436" s="11">
        <f t="shared" si="68"/>
        <v>121.17788461538461</v>
      </c>
      <c r="R436" s="8">
        <v>27056</v>
      </c>
      <c r="S436" s="11">
        <f t="shared" si="69"/>
        <v>30409</v>
      </c>
      <c r="T436" s="20">
        <f>S436/median_percentile!$B$1</f>
        <v>0.60337113207734361</v>
      </c>
      <c r="U436" s="24" t="str" cm="1">
        <f t="array" ref="U436">_xlfn.IFS(T436&lt;1,"underpaid",T436&gt;1,"overpaid",T436=1,"median pay")</f>
        <v>underpaid</v>
      </c>
      <c r="V436" s="5"/>
    </row>
    <row r="437" spans="1:22" x14ac:dyDescent="0.3">
      <c r="A437" s="22" t="s">
        <v>448</v>
      </c>
      <c r="B437" s="12" t="s">
        <v>1447</v>
      </c>
      <c r="C437" s="12" t="s">
        <v>2015</v>
      </c>
      <c r="D437" s="13">
        <v>44013</v>
      </c>
      <c r="E437" s="14">
        <f t="shared" si="60"/>
        <v>355428</v>
      </c>
      <c r="F437" s="12">
        <v>26163</v>
      </c>
      <c r="G437" s="12">
        <v>3456</v>
      </c>
      <c r="H437" s="15">
        <f t="shared" si="61"/>
        <v>13081.5</v>
      </c>
      <c r="I437" s="15">
        <f t="shared" si="62"/>
        <v>5232.6000000000004</v>
      </c>
      <c r="J437" s="15">
        <f t="shared" si="63"/>
        <v>7848.9000000000015</v>
      </c>
      <c r="K437" s="15">
        <f t="shared" si="64"/>
        <v>1569.78</v>
      </c>
      <c r="L437" s="12">
        <v>200</v>
      </c>
      <c r="M437" s="12">
        <f t="shared" si="65"/>
        <v>208</v>
      </c>
      <c r="N437" s="15">
        <v>5</v>
      </c>
      <c r="O437" s="15">
        <f t="shared" si="66"/>
        <v>62.89182692307692</v>
      </c>
      <c r="P437" s="15">
        <f t="shared" si="67"/>
        <v>125.78365384615384</v>
      </c>
      <c r="Q437" s="15">
        <f t="shared" si="68"/>
        <v>628.91826923076917</v>
      </c>
      <c r="R437" s="12">
        <v>27850</v>
      </c>
      <c r="S437" s="15">
        <f t="shared" si="69"/>
        <v>31306</v>
      </c>
      <c r="T437" s="20">
        <f>S437/median_percentile!$B$1</f>
        <v>0.62116928083177081</v>
      </c>
      <c r="U437" s="24" t="str" cm="1">
        <f t="array" ref="U437">_xlfn.IFS(T437&lt;1,"underpaid",T437&gt;1,"overpaid",T437=1,"median pay")</f>
        <v>underpaid</v>
      </c>
      <c r="V437" s="5"/>
    </row>
    <row r="438" spans="1:22" x14ac:dyDescent="0.3">
      <c r="A438" s="21" t="s">
        <v>449</v>
      </c>
      <c r="B438" s="8" t="s">
        <v>1448</v>
      </c>
      <c r="C438" s="8" t="s">
        <v>2015</v>
      </c>
      <c r="D438" s="9">
        <v>45355</v>
      </c>
      <c r="E438" s="10">
        <f t="shared" si="60"/>
        <v>501552</v>
      </c>
      <c r="F438" s="8">
        <v>35267</v>
      </c>
      <c r="G438" s="8">
        <v>6529</v>
      </c>
      <c r="H438" s="11">
        <f t="shared" si="61"/>
        <v>17633.5</v>
      </c>
      <c r="I438" s="11">
        <f t="shared" si="62"/>
        <v>7053.4000000000005</v>
      </c>
      <c r="J438" s="11">
        <f t="shared" si="63"/>
        <v>10580.099999999999</v>
      </c>
      <c r="K438" s="11">
        <f t="shared" si="64"/>
        <v>2116.02</v>
      </c>
      <c r="L438" s="8">
        <v>200</v>
      </c>
      <c r="M438" s="8">
        <f t="shared" si="65"/>
        <v>208</v>
      </c>
      <c r="N438" s="11">
        <v>4</v>
      </c>
      <c r="O438" s="11">
        <f t="shared" si="66"/>
        <v>84.776442307692307</v>
      </c>
      <c r="P438" s="11">
        <f t="shared" si="67"/>
        <v>169.55288461538461</v>
      </c>
      <c r="Q438" s="11">
        <f t="shared" si="68"/>
        <v>678.21153846153845</v>
      </c>
      <c r="R438" s="8">
        <v>39774</v>
      </c>
      <c r="S438" s="11">
        <f t="shared" si="69"/>
        <v>46303</v>
      </c>
      <c r="T438" s="20">
        <f>S438/median_percentile!$B$1</f>
        <v>0.91873766084308062</v>
      </c>
      <c r="U438" s="24" t="str" cm="1">
        <f t="array" ref="U438">_xlfn.IFS(T438&lt;1,"underpaid",T438&gt;1,"overpaid",T438=1,"median pay")</f>
        <v>underpaid</v>
      </c>
      <c r="V438" s="5"/>
    </row>
    <row r="439" spans="1:22" x14ac:dyDescent="0.3">
      <c r="A439" s="22" t="s">
        <v>450</v>
      </c>
      <c r="B439" s="12" t="s">
        <v>1449</v>
      </c>
      <c r="C439" s="12" t="s">
        <v>2011</v>
      </c>
      <c r="D439" s="13">
        <v>45974</v>
      </c>
      <c r="E439" s="14">
        <f t="shared" si="60"/>
        <v>432348</v>
      </c>
      <c r="F439" s="12">
        <v>31736</v>
      </c>
      <c r="G439" s="12">
        <v>4293</v>
      </c>
      <c r="H439" s="15">
        <f t="shared" si="61"/>
        <v>15868</v>
      </c>
      <c r="I439" s="15">
        <f t="shared" si="62"/>
        <v>6347.2000000000007</v>
      </c>
      <c r="J439" s="15">
        <f t="shared" si="63"/>
        <v>9520.7999999999993</v>
      </c>
      <c r="K439" s="15">
        <f t="shared" si="64"/>
        <v>1904.1599999999999</v>
      </c>
      <c r="L439" s="12">
        <v>200</v>
      </c>
      <c r="M439" s="12">
        <f t="shared" si="65"/>
        <v>208</v>
      </c>
      <c r="N439" s="15">
        <v>4</v>
      </c>
      <c r="O439" s="15">
        <f t="shared" si="66"/>
        <v>76.288461538461533</v>
      </c>
      <c r="P439" s="15">
        <f t="shared" si="67"/>
        <v>152.57692307692307</v>
      </c>
      <c r="Q439" s="15">
        <f t="shared" si="68"/>
        <v>610.30769230769226</v>
      </c>
      <c r="R439" s="12">
        <v>33925</v>
      </c>
      <c r="S439" s="15">
        <f t="shared" si="69"/>
        <v>38218</v>
      </c>
      <c r="T439" s="20">
        <f>S439/median_percentile!$B$1</f>
        <v>0.75831621972876173</v>
      </c>
      <c r="U439" s="24" t="str" cm="1">
        <f t="array" ref="U439">_xlfn.IFS(T439&lt;1,"underpaid",T439&gt;1,"overpaid",T439=1,"median pay")</f>
        <v>underpaid</v>
      </c>
      <c r="V439" s="5"/>
    </row>
    <row r="440" spans="1:22" x14ac:dyDescent="0.3">
      <c r="A440" s="21" t="s">
        <v>451</v>
      </c>
      <c r="B440" s="8" t="s">
        <v>1450</v>
      </c>
      <c r="C440" s="8" t="s">
        <v>2016</v>
      </c>
      <c r="D440" s="9">
        <v>44774</v>
      </c>
      <c r="E440" s="10">
        <f t="shared" si="60"/>
        <v>693624</v>
      </c>
      <c r="F440" s="8">
        <v>49018</v>
      </c>
      <c r="G440" s="8">
        <v>8784</v>
      </c>
      <c r="H440" s="11">
        <f t="shared" si="61"/>
        <v>24509</v>
      </c>
      <c r="I440" s="11">
        <f t="shared" si="62"/>
        <v>9803.6</v>
      </c>
      <c r="J440" s="11">
        <f t="shared" si="63"/>
        <v>14705.400000000001</v>
      </c>
      <c r="K440" s="11">
        <f t="shared" si="64"/>
        <v>2941.08</v>
      </c>
      <c r="L440" s="8">
        <v>200</v>
      </c>
      <c r="M440" s="8">
        <f t="shared" si="65"/>
        <v>208</v>
      </c>
      <c r="N440" s="11">
        <v>2</v>
      </c>
      <c r="O440" s="11">
        <f t="shared" si="66"/>
        <v>117.83173076923077</v>
      </c>
      <c r="P440" s="11">
        <f t="shared" si="67"/>
        <v>235.66346153846155</v>
      </c>
      <c r="Q440" s="11">
        <f t="shared" si="68"/>
        <v>471.32692307692309</v>
      </c>
      <c r="R440" s="8">
        <v>55477</v>
      </c>
      <c r="S440" s="11">
        <f t="shared" si="69"/>
        <v>64261</v>
      </c>
      <c r="T440" s="20">
        <f>S440/median_percentile!$B$1</f>
        <v>1.2750577894183359</v>
      </c>
      <c r="U440" s="24" t="str" cm="1">
        <f t="array" ref="U440">_xlfn.IFS(T440&lt;1,"underpaid",T440&gt;1,"overpaid",T440=1,"median pay")</f>
        <v>overpaid</v>
      </c>
      <c r="V440" s="5"/>
    </row>
    <row r="441" spans="1:22" x14ac:dyDescent="0.3">
      <c r="A441" s="22" t="s">
        <v>452</v>
      </c>
      <c r="B441" s="12" t="s">
        <v>1451</v>
      </c>
      <c r="C441" s="12" t="s">
        <v>2011</v>
      </c>
      <c r="D441" s="13">
        <v>45092</v>
      </c>
      <c r="E441" s="14">
        <f t="shared" si="60"/>
        <v>354492</v>
      </c>
      <c r="F441" s="12">
        <v>25884</v>
      </c>
      <c r="G441" s="12">
        <v>3657</v>
      </c>
      <c r="H441" s="15">
        <f t="shared" si="61"/>
        <v>12942</v>
      </c>
      <c r="I441" s="15">
        <f t="shared" si="62"/>
        <v>5176.8</v>
      </c>
      <c r="J441" s="15">
        <f t="shared" si="63"/>
        <v>7765.2000000000007</v>
      </c>
      <c r="K441" s="15">
        <f t="shared" si="64"/>
        <v>1553.04</v>
      </c>
      <c r="L441" s="12">
        <v>200</v>
      </c>
      <c r="M441" s="12">
        <f t="shared" si="65"/>
        <v>208</v>
      </c>
      <c r="N441" s="15">
        <v>4</v>
      </c>
      <c r="O441" s="15">
        <f t="shared" si="66"/>
        <v>62.221153846153847</v>
      </c>
      <c r="P441" s="15">
        <f t="shared" si="67"/>
        <v>124.44230769230769</v>
      </c>
      <c r="Q441" s="15">
        <f t="shared" si="68"/>
        <v>497.76923076923077</v>
      </c>
      <c r="R441" s="12">
        <v>28219</v>
      </c>
      <c r="S441" s="15">
        <f t="shared" si="69"/>
        <v>31876</v>
      </c>
      <c r="T441" s="20">
        <f>S441/median_percentile!$B$1</f>
        <v>0.63247914124428306</v>
      </c>
      <c r="U441" s="24" t="str" cm="1">
        <f t="array" ref="U441">_xlfn.IFS(T441&lt;1,"underpaid",T441&gt;1,"overpaid",T441=1,"median pay")</f>
        <v>underpaid</v>
      </c>
      <c r="V441" s="5"/>
    </row>
    <row r="442" spans="1:22" x14ac:dyDescent="0.3">
      <c r="A442" s="21" t="s">
        <v>453</v>
      </c>
      <c r="B442" s="8" t="s">
        <v>1452</v>
      </c>
      <c r="C442" s="8" t="s">
        <v>2016</v>
      </c>
      <c r="D442" s="9">
        <v>45107</v>
      </c>
      <c r="E442" s="10">
        <f t="shared" si="60"/>
        <v>626208</v>
      </c>
      <c r="F442" s="8">
        <v>46988</v>
      </c>
      <c r="G442" s="8">
        <v>5196</v>
      </c>
      <c r="H442" s="11">
        <f t="shared" si="61"/>
        <v>23494</v>
      </c>
      <c r="I442" s="11">
        <f t="shared" si="62"/>
        <v>9397.6</v>
      </c>
      <c r="J442" s="11">
        <f t="shared" si="63"/>
        <v>14096.400000000001</v>
      </c>
      <c r="K442" s="11">
        <f t="shared" si="64"/>
        <v>2819.2799999999997</v>
      </c>
      <c r="L442" s="8">
        <v>200</v>
      </c>
      <c r="M442" s="8">
        <f t="shared" si="65"/>
        <v>208</v>
      </c>
      <c r="N442" s="11">
        <v>1</v>
      </c>
      <c r="O442" s="11">
        <f t="shared" si="66"/>
        <v>112.95192307692308</v>
      </c>
      <c r="P442" s="11">
        <f t="shared" si="67"/>
        <v>225.90384615384616</v>
      </c>
      <c r="Q442" s="11">
        <f t="shared" si="68"/>
        <v>225.90384615384616</v>
      </c>
      <c r="R442" s="8">
        <v>49556</v>
      </c>
      <c r="S442" s="11">
        <f t="shared" si="69"/>
        <v>54752</v>
      </c>
      <c r="T442" s="20">
        <f>S442/median_percentile!$B$1</f>
        <v>1.0863815391331091</v>
      </c>
      <c r="U442" s="24" t="str" cm="1">
        <f t="array" ref="U442">_xlfn.IFS(T442&lt;1,"underpaid",T442&gt;1,"overpaid",T442=1,"median pay")</f>
        <v>overpaid</v>
      </c>
      <c r="V442" s="5"/>
    </row>
    <row r="443" spans="1:22" x14ac:dyDescent="0.3">
      <c r="A443" s="22" t="s">
        <v>454</v>
      </c>
      <c r="B443" s="12" t="s">
        <v>1453</v>
      </c>
      <c r="C443" s="12" t="s">
        <v>2016</v>
      </c>
      <c r="D443" s="13">
        <v>43767</v>
      </c>
      <c r="E443" s="14">
        <f t="shared" si="60"/>
        <v>446940</v>
      </c>
      <c r="F443" s="12">
        <v>32067</v>
      </c>
      <c r="G443" s="12">
        <v>5178</v>
      </c>
      <c r="H443" s="15">
        <f t="shared" si="61"/>
        <v>16033.5</v>
      </c>
      <c r="I443" s="15">
        <f t="shared" si="62"/>
        <v>6413.4000000000005</v>
      </c>
      <c r="J443" s="15">
        <f t="shared" si="63"/>
        <v>9620.0999999999985</v>
      </c>
      <c r="K443" s="15">
        <f t="shared" si="64"/>
        <v>1924.02</v>
      </c>
      <c r="L443" s="12">
        <v>200</v>
      </c>
      <c r="M443" s="12">
        <f t="shared" si="65"/>
        <v>208</v>
      </c>
      <c r="N443" s="15">
        <v>4</v>
      </c>
      <c r="O443" s="15">
        <f t="shared" si="66"/>
        <v>77.084134615384613</v>
      </c>
      <c r="P443" s="15">
        <f t="shared" si="67"/>
        <v>154.16826923076923</v>
      </c>
      <c r="Q443" s="15">
        <f t="shared" si="68"/>
        <v>616.67307692307691</v>
      </c>
      <c r="R443" s="12">
        <v>35656</v>
      </c>
      <c r="S443" s="15">
        <f t="shared" si="69"/>
        <v>40834</v>
      </c>
      <c r="T443" s="20">
        <f>S443/median_percentile!$B$1</f>
        <v>0.81022252646408133</v>
      </c>
      <c r="U443" s="24" t="str" cm="1">
        <f t="array" ref="U443">_xlfn.IFS(T443&lt;1,"underpaid",T443&gt;1,"overpaid",T443=1,"median pay")</f>
        <v>underpaid</v>
      </c>
      <c r="V443" s="5"/>
    </row>
    <row r="444" spans="1:22" x14ac:dyDescent="0.3">
      <c r="A444" s="21" t="s">
        <v>455</v>
      </c>
      <c r="B444" s="8" t="s">
        <v>1454</v>
      </c>
      <c r="C444" s="8" t="s">
        <v>2011</v>
      </c>
      <c r="D444" s="9">
        <v>44699</v>
      </c>
      <c r="E444" s="10">
        <f t="shared" si="60"/>
        <v>384000</v>
      </c>
      <c r="F444" s="8">
        <v>27642</v>
      </c>
      <c r="G444" s="8">
        <v>4358</v>
      </c>
      <c r="H444" s="11">
        <f t="shared" si="61"/>
        <v>13821</v>
      </c>
      <c r="I444" s="11">
        <f t="shared" si="62"/>
        <v>5528.4000000000005</v>
      </c>
      <c r="J444" s="11">
        <f t="shared" si="63"/>
        <v>8292.5999999999985</v>
      </c>
      <c r="K444" s="11">
        <f t="shared" si="64"/>
        <v>1658.52</v>
      </c>
      <c r="L444" s="8">
        <v>200</v>
      </c>
      <c r="M444" s="8">
        <f t="shared" si="65"/>
        <v>208</v>
      </c>
      <c r="N444" s="11">
        <v>4</v>
      </c>
      <c r="O444" s="11">
        <f t="shared" si="66"/>
        <v>66.447115384615387</v>
      </c>
      <c r="P444" s="11">
        <f t="shared" si="67"/>
        <v>132.89423076923077</v>
      </c>
      <c r="Q444" s="11">
        <f t="shared" si="68"/>
        <v>531.57692307692309</v>
      </c>
      <c r="R444" s="8">
        <v>30142</v>
      </c>
      <c r="S444" s="11">
        <f t="shared" si="69"/>
        <v>34500</v>
      </c>
      <c r="T444" s="20">
        <f>S444/median_percentile!$B$1</f>
        <v>0.68454418286258523</v>
      </c>
      <c r="U444" s="24" t="str" cm="1">
        <f t="array" ref="U444">_xlfn.IFS(T444&lt;1,"underpaid",T444&gt;1,"overpaid",T444=1,"median pay")</f>
        <v>underpaid</v>
      </c>
      <c r="V444" s="5"/>
    </row>
    <row r="445" spans="1:22" x14ac:dyDescent="0.3">
      <c r="A445" s="22" t="s">
        <v>456</v>
      </c>
      <c r="B445" s="12" t="s">
        <v>1455</v>
      </c>
      <c r="C445" s="12" t="s">
        <v>2014</v>
      </c>
      <c r="D445" s="13">
        <v>45820</v>
      </c>
      <c r="E445" s="14">
        <f t="shared" si="60"/>
        <v>1084680</v>
      </c>
      <c r="F445" s="12">
        <v>75460</v>
      </c>
      <c r="G445" s="12">
        <v>14930</v>
      </c>
      <c r="H445" s="15">
        <f t="shared" si="61"/>
        <v>37730</v>
      </c>
      <c r="I445" s="15">
        <f t="shared" si="62"/>
        <v>15092</v>
      </c>
      <c r="J445" s="15">
        <f t="shared" si="63"/>
        <v>22638</v>
      </c>
      <c r="K445" s="15">
        <f t="shared" si="64"/>
        <v>4527.5999999999995</v>
      </c>
      <c r="L445" s="12">
        <v>200</v>
      </c>
      <c r="M445" s="12">
        <f t="shared" si="65"/>
        <v>208</v>
      </c>
      <c r="N445" s="15">
        <v>4</v>
      </c>
      <c r="O445" s="15">
        <f t="shared" si="66"/>
        <v>181.39423076923077</v>
      </c>
      <c r="P445" s="15">
        <f t="shared" si="67"/>
        <v>362.78846153846155</v>
      </c>
      <c r="Q445" s="15">
        <f t="shared" si="68"/>
        <v>1451.1538461538462</v>
      </c>
      <c r="R445" s="12">
        <v>85663</v>
      </c>
      <c r="S445" s="15">
        <f t="shared" si="69"/>
        <v>100593</v>
      </c>
      <c r="T445" s="20">
        <f>S445/median_percentile!$B$1</f>
        <v>1.995952260483943</v>
      </c>
      <c r="U445" s="24" t="str" cm="1">
        <f t="array" ref="U445">_xlfn.IFS(T445&lt;1,"underpaid",T445&gt;1,"overpaid",T445=1,"median pay")</f>
        <v>overpaid</v>
      </c>
      <c r="V445" s="5"/>
    </row>
    <row r="446" spans="1:22" x14ac:dyDescent="0.3">
      <c r="A446" s="21" t="s">
        <v>457</v>
      </c>
      <c r="B446" s="8" t="s">
        <v>1456</v>
      </c>
      <c r="C446" s="8" t="s">
        <v>2013</v>
      </c>
      <c r="D446" s="9">
        <v>45872</v>
      </c>
      <c r="E446" s="10">
        <f t="shared" si="60"/>
        <v>586548</v>
      </c>
      <c r="F446" s="8">
        <v>44172</v>
      </c>
      <c r="G446" s="8">
        <v>4707</v>
      </c>
      <c r="H446" s="11">
        <f t="shared" si="61"/>
        <v>22086</v>
      </c>
      <c r="I446" s="11">
        <f t="shared" si="62"/>
        <v>8834.4</v>
      </c>
      <c r="J446" s="11">
        <f t="shared" si="63"/>
        <v>13251.599999999999</v>
      </c>
      <c r="K446" s="11">
        <f t="shared" si="64"/>
        <v>2650.3199999999997</v>
      </c>
      <c r="L446" s="8">
        <v>200</v>
      </c>
      <c r="M446" s="8">
        <f t="shared" si="65"/>
        <v>208</v>
      </c>
      <c r="N446" s="11">
        <v>1</v>
      </c>
      <c r="O446" s="11">
        <f t="shared" si="66"/>
        <v>106.18269230769231</v>
      </c>
      <c r="P446" s="11">
        <f t="shared" si="67"/>
        <v>212.36538461538461</v>
      </c>
      <c r="Q446" s="11">
        <f t="shared" si="68"/>
        <v>212.36538461538461</v>
      </c>
      <c r="R446" s="8">
        <v>46029</v>
      </c>
      <c r="S446" s="11">
        <f t="shared" si="69"/>
        <v>50736</v>
      </c>
      <c r="T446" s="20">
        <f>S446/median_percentile!$B$1</f>
        <v>1.0066966278758296</v>
      </c>
      <c r="U446" s="24" t="str" cm="1">
        <f t="array" ref="U446">_xlfn.IFS(T446&lt;1,"underpaid",T446&gt;1,"overpaid",T446=1,"median pay")</f>
        <v>overpaid</v>
      </c>
      <c r="V446" s="5"/>
    </row>
    <row r="447" spans="1:22" x14ac:dyDescent="0.3">
      <c r="A447" s="22" t="s">
        <v>458</v>
      </c>
      <c r="B447" s="12" t="s">
        <v>1457</v>
      </c>
      <c r="C447" s="12" t="s">
        <v>2016</v>
      </c>
      <c r="D447" s="13">
        <v>44100</v>
      </c>
      <c r="E447" s="14">
        <f t="shared" si="60"/>
        <v>699780</v>
      </c>
      <c r="F447" s="12">
        <v>48799</v>
      </c>
      <c r="G447" s="12">
        <v>9516</v>
      </c>
      <c r="H447" s="15">
        <f t="shared" si="61"/>
        <v>24399.5</v>
      </c>
      <c r="I447" s="15">
        <f t="shared" si="62"/>
        <v>9759.8000000000011</v>
      </c>
      <c r="J447" s="15">
        <f t="shared" si="63"/>
        <v>14639.699999999997</v>
      </c>
      <c r="K447" s="15">
        <f t="shared" si="64"/>
        <v>2927.94</v>
      </c>
      <c r="L447" s="12">
        <v>200</v>
      </c>
      <c r="M447" s="12">
        <f t="shared" si="65"/>
        <v>208</v>
      </c>
      <c r="N447" s="15">
        <v>3</v>
      </c>
      <c r="O447" s="15">
        <f t="shared" si="66"/>
        <v>117.30528846153847</v>
      </c>
      <c r="P447" s="15">
        <f t="shared" si="67"/>
        <v>234.61057692307693</v>
      </c>
      <c r="Q447" s="15">
        <f t="shared" si="68"/>
        <v>703.83173076923083</v>
      </c>
      <c r="R447" s="12">
        <v>55594</v>
      </c>
      <c r="S447" s="15">
        <f t="shared" si="69"/>
        <v>65110</v>
      </c>
      <c r="T447" s="20">
        <f>S447/median_percentile!$B$1</f>
        <v>1.2919035288748673</v>
      </c>
      <c r="U447" s="24" t="str" cm="1">
        <f t="array" ref="U447">_xlfn.IFS(T447&lt;1,"underpaid",T447&gt;1,"overpaid",T447=1,"median pay")</f>
        <v>overpaid</v>
      </c>
      <c r="V447" s="5"/>
    </row>
    <row r="448" spans="1:22" x14ac:dyDescent="0.3">
      <c r="A448" s="21" t="s">
        <v>459</v>
      </c>
      <c r="B448" s="8" t="s">
        <v>1458</v>
      </c>
      <c r="C448" s="8" t="s">
        <v>2011</v>
      </c>
      <c r="D448" s="9">
        <v>45947</v>
      </c>
      <c r="E448" s="10">
        <f t="shared" si="60"/>
        <v>560796</v>
      </c>
      <c r="F448" s="8">
        <v>40061</v>
      </c>
      <c r="G448" s="8">
        <v>6672</v>
      </c>
      <c r="H448" s="11">
        <f t="shared" si="61"/>
        <v>20030.5</v>
      </c>
      <c r="I448" s="11">
        <f t="shared" si="62"/>
        <v>8012.2000000000007</v>
      </c>
      <c r="J448" s="11">
        <f t="shared" si="63"/>
        <v>12018.3</v>
      </c>
      <c r="K448" s="11">
        <f t="shared" si="64"/>
        <v>2403.66</v>
      </c>
      <c r="L448" s="8">
        <v>200</v>
      </c>
      <c r="M448" s="8">
        <f t="shared" si="65"/>
        <v>208</v>
      </c>
      <c r="N448" s="11">
        <v>5</v>
      </c>
      <c r="O448" s="11">
        <f t="shared" si="66"/>
        <v>96.300480769230774</v>
      </c>
      <c r="P448" s="11">
        <f t="shared" si="67"/>
        <v>192.60096153846155</v>
      </c>
      <c r="Q448" s="11">
        <f t="shared" si="68"/>
        <v>963.00480769230774</v>
      </c>
      <c r="R448" s="8">
        <v>44463</v>
      </c>
      <c r="S448" s="11">
        <f t="shared" si="69"/>
        <v>51135</v>
      </c>
      <c r="T448" s="20">
        <f>S448/median_percentile!$B$1</f>
        <v>1.0146135301645882</v>
      </c>
      <c r="U448" s="24" t="str" cm="1">
        <f t="array" ref="U448">_xlfn.IFS(T448&lt;1,"underpaid",T448&gt;1,"overpaid",T448=1,"median pay")</f>
        <v>overpaid</v>
      </c>
      <c r="V448" s="5"/>
    </row>
    <row r="449" spans="1:22" x14ac:dyDescent="0.3">
      <c r="A449" s="22" t="s">
        <v>460</v>
      </c>
      <c r="B449" s="12" t="s">
        <v>1459</v>
      </c>
      <c r="C449" s="12" t="s">
        <v>2011</v>
      </c>
      <c r="D449" s="13">
        <v>43939</v>
      </c>
      <c r="E449" s="14">
        <f t="shared" si="60"/>
        <v>476604</v>
      </c>
      <c r="F449" s="12">
        <v>34265</v>
      </c>
      <c r="G449" s="12">
        <v>5452</v>
      </c>
      <c r="H449" s="15">
        <f t="shared" si="61"/>
        <v>17132.5</v>
      </c>
      <c r="I449" s="15">
        <f t="shared" si="62"/>
        <v>6853</v>
      </c>
      <c r="J449" s="15">
        <f t="shared" si="63"/>
        <v>10279.5</v>
      </c>
      <c r="K449" s="15">
        <f t="shared" si="64"/>
        <v>2055.9</v>
      </c>
      <c r="L449" s="12">
        <v>200</v>
      </c>
      <c r="M449" s="12">
        <f t="shared" si="65"/>
        <v>208</v>
      </c>
      <c r="N449" s="15">
        <v>2</v>
      </c>
      <c r="O449" s="15">
        <f t="shared" si="66"/>
        <v>82.367788461538467</v>
      </c>
      <c r="P449" s="15">
        <f t="shared" si="67"/>
        <v>164.73557692307693</v>
      </c>
      <c r="Q449" s="15">
        <f t="shared" si="68"/>
        <v>329.47115384615387</v>
      </c>
      <c r="R449" s="12">
        <v>38033</v>
      </c>
      <c r="S449" s="15">
        <f t="shared" si="69"/>
        <v>43485</v>
      </c>
      <c r="T449" s="20">
        <f>S449/median_percentile!$B$1</f>
        <v>0.86282329831244975</v>
      </c>
      <c r="U449" s="24" t="str" cm="1">
        <f t="array" ref="U449">_xlfn.IFS(T449&lt;1,"underpaid",T449&gt;1,"overpaid",T449=1,"median pay")</f>
        <v>underpaid</v>
      </c>
      <c r="V449" s="5"/>
    </row>
    <row r="450" spans="1:22" x14ac:dyDescent="0.3">
      <c r="A450" s="21" t="s">
        <v>461</v>
      </c>
      <c r="B450" s="8" t="s">
        <v>1460</v>
      </c>
      <c r="C450" s="8" t="s">
        <v>2016</v>
      </c>
      <c r="D450" s="9">
        <v>43664</v>
      </c>
      <c r="E450" s="10">
        <f t="shared" ref="E450:E513" si="70">(F450*12)+(G450*12)</f>
        <v>703188</v>
      </c>
      <c r="F450" s="8">
        <v>49495</v>
      </c>
      <c r="G450" s="8">
        <v>9104</v>
      </c>
      <c r="H450" s="11">
        <f t="shared" ref="H450:H513" si="71">F450*50%</f>
        <v>24747.5</v>
      </c>
      <c r="I450" s="11">
        <f t="shared" ref="I450:I513" si="72">H450*40%</f>
        <v>9899</v>
      </c>
      <c r="J450" s="11">
        <f t="shared" ref="J450:J513" si="73">F450-(H450+I450)</f>
        <v>14848.5</v>
      </c>
      <c r="K450" s="11">
        <f t="shared" ref="K450:K513" si="74">H450*12%</f>
        <v>2969.7</v>
      </c>
      <c r="L450" s="8">
        <v>200</v>
      </c>
      <c r="M450" s="8">
        <f t="shared" si="65"/>
        <v>208</v>
      </c>
      <c r="N450" s="11">
        <v>4</v>
      </c>
      <c r="O450" s="11">
        <f t="shared" si="66"/>
        <v>118.97836538461539</v>
      </c>
      <c r="P450" s="11">
        <f t="shared" si="67"/>
        <v>237.95673076923077</v>
      </c>
      <c r="Q450" s="11">
        <f t="shared" si="68"/>
        <v>951.82692307692309</v>
      </c>
      <c r="R450" s="8">
        <v>55430</v>
      </c>
      <c r="S450" s="11">
        <f t="shared" si="69"/>
        <v>64534</v>
      </c>
      <c r="T450" s="20">
        <f>S450/median_percentile!$B$1</f>
        <v>1.280474617300118</v>
      </c>
      <c r="U450" s="24" t="str" cm="1">
        <f t="array" ref="U450">_xlfn.IFS(T450&lt;1,"underpaid",T450&gt;1,"overpaid",T450=1,"median pay")</f>
        <v>overpaid</v>
      </c>
      <c r="V450" s="5"/>
    </row>
    <row r="451" spans="1:22" x14ac:dyDescent="0.3">
      <c r="A451" s="22" t="s">
        <v>462</v>
      </c>
      <c r="B451" s="12" t="s">
        <v>1461</v>
      </c>
      <c r="C451" s="12" t="s">
        <v>2014</v>
      </c>
      <c r="D451" s="13">
        <v>44157</v>
      </c>
      <c r="E451" s="14">
        <f t="shared" si="70"/>
        <v>541692</v>
      </c>
      <c r="F451" s="12">
        <v>38594</v>
      </c>
      <c r="G451" s="12">
        <v>6547</v>
      </c>
      <c r="H451" s="15">
        <f t="shared" si="71"/>
        <v>19297</v>
      </c>
      <c r="I451" s="15">
        <f t="shared" si="72"/>
        <v>7718.8</v>
      </c>
      <c r="J451" s="15">
        <f t="shared" si="73"/>
        <v>11578.2</v>
      </c>
      <c r="K451" s="15">
        <f t="shared" si="74"/>
        <v>2315.64</v>
      </c>
      <c r="L451" s="12">
        <v>200</v>
      </c>
      <c r="M451" s="12">
        <f t="shared" ref="M451:M514" si="75">8*26</f>
        <v>208</v>
      </c>
      <c r="N451" s="15">
        <v>4</v>
      </c>
      <c r="O451" s="15">
        <f t="shared" ref="O451:O514" si="76">H451/M451</f>
        <v>92.774038461538467</v>
      </c>
      <c r="P451" s="15">
        <f t="shared" ref="P451:P514" si="77">O451*2</f>
        <v>185.54807692307693</v>
      </c>
      <c r="Q451" s="15">
        <f t="shared" ref="Q451:Q514" si="78">P451*N451</f>
        <v>742.19230769230774</v>
      </c>
      <c r="R451" s="12">
        <v>42626</v>
      </c>
      <c r="S451" s="15">
        <f t="shared" ref="S451:T514" si="79">R451+G451</f>
        <v>49173</v>
      </c>
      <c r="T451" s="20">
        <f>S451/median_percentile!$B$1</f>
        <v>0.97568380011309863</v>
      </c>
      <c r="U451" s="24" t="str" cm="1">
        <f t="array" ref="U451">_xlfn.IFS(T451&lt;1,"underpaid",T451&gt;1,"overpaid",T451=1,"median pay")</f>
        <v>underpaid</v>
      </c>
      <c r="V451" s="5"/>
    </row>
    <row r="452" spans="1:22" x14ac:dyDescent="0.3">
      <c r="A452" s="21" t="s">
        <v>463</v>
      </c>
      <c r="B452" s="8" t="s">
        <v>1462</v>
      </c>
      <c r="C452" s="8" t="s">
        <v>2011</v>
      </c>
      <c r="D452" s="9">
        <v>45688</v>
      </c>
      <c r="E452" s="10">
        <f t="shared" si="70"/>
        <v>579792</v>
      </c>
      <c r="F452" s="8">
        <v>42374</v>
      </c>
      <c r="G452" s="8">
        <v>5942</v>
      </c>
      <c r="H452" s="11">
        <f t="shared" si="71"/>
        <v>21187</v>
      </c>
      <c r="I452" s="11">
        <f t="shared" si="72"/>
        <v>8474.8000000000011</v>
      </c>
      <c r="J452" s="11">
        <f t="shared" si="73"/>
        <v>12712.199999999997</v>
      </c>
      <c r="K452" s="11">
        <f t="shared" si="74"/>
        <v>2542.44</v>
      </c>
      <c r="L452" s="8">
        <v>200</v>
      </c>
      <c r="M452" s="8">
        <f t="shared" si="75"/>
        <v>208</v>
      </c>
      <c r="N452" s="11">
        <v>3</v>
      </c>
      <c r="O452" s="11">
        <f t="shared" si="76"/>
        <v>101.86057692307692</v>
      </c>
      <c r="P452" s="11">
        <f t="shared" si="77"/>
        <v>203.72115384615384</v>
      </c>
      <c r="Q452" s="11">
        <f t="shared" si="78"/>
        <v>611.16346153846155</v>
      </c>
      <c r="R452" s="8">
        <v>46280</v>
      </c>
      <c r="S452" s="11">
        <f t="shared" si="79"/>
        <v>52222</v>
      </c>
      <c r="T452" s="20">
        <f>S452/median_percentile!$B$1</f>
        <v>1.0361816323898529</v>
      </c>
      <c r="U452" s="24" t="str" cm="1">
        <f t="array" ref="U452">_xlfn.IFS(T452&lt;1,"underpaid",T452&gt;1,"overpaid",T452=1,"median pay")</f>
        <v>overpaid</v>
      </c>
      <c r="V452" s="5"/>
    </row>
    <row r="453" spans="1:22" x14ac:dyDescent="0.3">
      <c r="A453" s="22" t="s">
        <v>464</v>
      </c>
      <c r="B453" s="12" t="s">
        <v>1463</v>
      </c>
      <c r="C453" s="12" t="s">
        <v>2014</v>
      </c>
      <c r="D453" s="13">
        <v>45469</v>
      </c>
      <c r="E453" s="14">
        <f t="shared" si="70"/>
        <v>880116</v>
      </c>
      <c r="F453" s="12">
        <v>62048</v>
      </c>
      <c r="G453" s="12">
        <v>11295</v>
      </c>
      <c r="H453" s="15">
        <f t="shared" si="71"/>
        <v>31024</v>
      </c>
      <c r="I453" s="15">
        <f t="shared" si="72"/>
        <v>12409.6</v>
      </c>
      <c r="J453" s="15">
        <f t="shared" si="73"/>
        <v>18614.400000000001</v>
      </c>
      <c r="K453" s="15">
        <f t="shared" si="74"/>
        <v>3722.8799999999997</v>
      </c>
      <c r="L453" s="12">
        <v>200</v>
      </c>
      <c r="M453" s="12">
        <f t="shared" si="75"/>
        <v>208</v>
      </c>
      <c r="N453" s="15">
        <v>3</v>
      </c>
      <c r="O453" s="15">
        <f t="shared" si="76"/>
        <v>149.15384615384616</v>
      </c>
      <c r="P453" s="15">
        <f t="shared" si="77"/>
        <v>298.30769230769232</v>
      </c>
      <c r="Q453" s="15">
        <f t="shared" si="78"/>
        <v>894.92307692307691</v>
      </c>
      <c r="R453" s="12">
        <v>69938</v>
      </c>
      <c r="S453" s="15">
        <f t="shared" si="79"/>
        <v>81233</v>
      </c>
      <c r="T453" s="20">
        <f>S453/median_percentile!$B$1</f>
        <v>1.6118138436659821</v>
      </c>
      <c r="U453" s="24" t="str" cm="1">
        <f t="array" ref="U453">_xlfn.IFS(T453&lt;1,"underpaid",T453&gt;1,"overpaid",T453=1,"median pay")</f>
        <v>overpaid</v>
      </c>
      <c r="V453" s="5"/>
    </row>
    <row r="454" spans="1:22" x14ac:dyDescent="0.3">
      <c r="A454" s="21" t="s">
        <v>465</v>
      </c>
      <c r="B454" s="8" t="s">
        <v>1464</v>
      </c>
      <c r="C454" s="8" t="s">
        <v>2014</v>
      </c>
      <c r="D454" s="9">
        <v>43907</v>
      </c>
      <c r="E454" s="10">
        <f t="shared" si="70"/>
        <v>681432</v>
      </c>
      <c r="F454" s="8">
        <v>49565</v>
      </c>
      <c r="G454" s="8">
        <v>7221</v>
      </c>
      <c r="H454" s="11">
        <f t="shared" si="71"/>
        <v>24782.5</v>
      </c>
      <c r="I454" s="11">
        <f t="shared" si="72"/>
        <v>9913</v>
      </c>
      <c r="J454" s="11">
        <f t="shared" si="73"/>
        <v>14869.5</v>
      </c>
      <c r="K454" s="11">
        <f t="shared" si="74"/>
        <v>2973.9</v>
      </c>
      <c r="L454" s="8">
        <v>200</v>
      </c>
      <c r="M454" s="8">
        <f t="shared" si="75"/>
        <v>208</v>
      </c>
      <c r="N454" s="11">
        <v>1</v>
      </c>
      <c r="O454" s="11">
        <f t="shared" si="76"/>
        <v>119.14663461538461</v>
      </c>
      <c r="P454" s="11">
        <f t="shared" si="77"/>
        <v>238.29326923076923</v>
      </c>
      <c r="Q454" s="11">
        <f t="shared" si="78"/>
        <v>238.29326923076923</v>
      </c>
      <c r="R454" s="8">
        <v>53613</v>
      </c>
      <c r="S454" s="11">
        <f t="shared" si="79"/>
        <v>60834</v>
      </c>
      <c r="T454" s="20">
        <f>S454/median_percentile!$B$1</f>
        <v>1.2070597339206524</v>
      </c>
      <c r="U454" s="24" t="str" cm="1">
        <f t="array" ref="U454">_xlfn.IFS(T454&lt;1,"underpaid",T454&gt;1,"overpaid",T454=1,"median pay")</f>
        <v>overpaid</v>
      </c>
      <c r="V454" s="5"/>
    </row>
    <row r="455" spans="1:22" x14ac:dyDescent="0.3">
      <c r="A455" s="22" t="s">
        <v>466</v>
      </c>
      <c r="B455" s="12" t="s">
        <v>1465</v>
      </c>
      <c r="C455" s="12" t="s">
        <v>2013</v>
      </c>
      <c r="D455" s="13">
        <v>45951</v>
      </c>
      <c r="E455" s="14">
        <f t="shared" si="70"/>
        <v>546888</v>
      </c>
      <c r="F455" s="12">
        <v>40174</v>
      </c>
      <c r="G455" s="12">
        <v>5400</v>
      </c>
      <c r="H455" s="15">
        <f t="shared" si="71"/>
        <v>20087</v>
      </c>
      <c r="I455" s="15">
        <f t="shared" si="72"/>
        <v>8034.8</v>
      </c>
      <c r="J455" s="15">
        <f t="shared" si="73"/>
        <v>12052.2</v>
      </c>
      <c r="K455" s="15">
        <f t="shared" si="74"/>
        <v>2410.44</v>
      </c>
      <c r="L455" s="12">
        <v>200</v>
      </c>
      <c r="M455" s="12">
        <f t="shared" si="75"/>
        <v>208</v>
      </c>
      <c r="N455" s="15">
        <v>3</v>
      </c>
      <c r="O455" s="15">
        <f t="shared" si="76"/>
        <v>96.572115384615387</v>
      </c>
      <c r="P455" s="15">
        <f t="shared" si="77"/>
        <v>193.14423076923077</v>
      </c>
      <c r="Q455" s="15">
        <f t="shared" si="78"/>
        <v>579.43269230769238</v>
      </c>
      <c r="R455" s="12">
        <v>42964</v>
      </c>
      <c r="S455" s="15">
        <f t="shared" si="79"/>
        <v>48364</v>
      </c>
      <c r="T455" s="20">
        <f>S455/median_percentile!$B$1</f>
        <v>0.95963173507148025</v>
      </c>
      <c r="U455" s="24" t="str" cm="1">
        <f t="array" ref="U455">_xlfn.IFS(T455&lt;1,"underpaid",T455&gt;1,"overpaid",T455=1,"median pay")</f>
        <v>underpaid</v>
      </c>
      <c r="V455" s="5"/>
    </row>
    <row r="456" spans="1:22" x14ac:dyDescent="0.3">
      <c r="A456" s="21" t="s">
        <v>467</v>
      </c>
      <c r="B456" s="8" t="s">
        <v>1466</v>
      </c>
      <c r="C456" s="8" t="s">
        <v>2012</v>
      </c>
      <c r="D456" s="9">
        <v>45209</v>
      </c>
      <c r="E456" s="10">
        <f t="shared" si="70"/>
        <v>447012</v>
      </c>
      <c r="F456" s="8">
        <v>32206</v>
      </c>
      <c r="G456" s="8">
        <v>5045</v>
      </c>
      <c r="H456" s="11">
        <f t="shared" si="71"/>
        <v>16103</v>
      </c>
      <c r="I456" s="11">
        <f t="shared" si="72"/>
        <v>6441.2000000000007</v>
      </c>
      <c r="J456" s="11">
        <f t="shared" si="73"/>
        <v>9661.7999999999993</v>
      </c>
      <c r="K456" s="11">
        <f t="shared" si="74"/>
        <v>1932.36</v>
      </c>
      <c r="L456" s="8">
        <v>200</v>
      </c>
      <c r="M456" s="8">
        <f t="shared" si="75"/>
        <v>208</v>
      </c>
      <c r="N456" s="11">
        <v>0</v>
      </c>
      <c r="O456" s="11">
        <f t="shared" si="76"/>
        <v>77.418269230769226</v>
      </c>
      <c r="P456" s="11">
        <f t="shared" si="77"/>
        <v>154.83653846153845</v>
      </c>
      <c r="Q456" s="11">
        <f t="shared" si="78"/>
        <v>0</v>
      </c>
      <c r="R456" s="8">
        <v>35387</v>
      </c>
      <c r="S456" s="11">
        <f t="shared" si="79"/>
        <v>40432</v>
      </c>
      <c r="T456" s="20">
        <f>S456/median_percentile!$B$1</f>
        <v>0.80224609859420415</v>
      </c>
      <c r="U456" s="24" t="str" cm="1">
        <f t="array" ref="U456">_xlfn.IFS(T456&lt;1,"underpaid",T456&gt;1,"overpaid",T456=1,"median pay")</f>
        <v>underpaid</v>
      </c>
      <c r="V456" s="5"/>
    </row>
    <row r="457" spans="1:22" x14ac:dyDescent="0.3">
      <c r="A457" s="22" t="s">
        <v>468</v>
      </c>
      <c r="B457" s="12" t="s">
        <v>1467</v>
      </c>
      <c r="C457" s="12" t="s">
        <v>2013</v>
      </c>
      <c r="D457" s="13">
        <v>45533</v>
      </c>
      <c r="E457" s="14">
        <f t="shared" si="70"/>
        <v>514920</v>
      </c>
      <c r="F457" s="12">
        <v>36766</v>
      </c>
      <c r="G457" s="12">
        <v>6144</v>
      </c>
      <c r="H457" s="15">
        <f t="shared" si="71"/>
        <v>18383</v>
      </c>
      <c r="I457" s="15">
        <f t="shared" si="72"/>
        <v>7353.2000000000007</v>
      </c>
      <c r="J457" s="15">
        <f t="shared" si="73"/>
        <v>11029.8</v>
      </c>
      <c r="K457" s="15">
        <f t="shared" si="74"/>
        <v>2205.96</v>
      </c>
      <c r="L457" s="12">
        <v>200</v>
      </c>
      <c r="M457" s="12">
        <f t="shared" si="75"/>
        <v>208</v>
      </c>
      <c r="N457" s="15">
        <v>4</v>
      </c>
      <c r="O457" s="15">
        <f t="shared" si="76"/>
        <v>88.379807692307693</v>
      </c>
      <c r="P457" s="15">
        <f t="shared" si="77"/>
        <v>176.75961538461539</v>
      </c>
      <c r="Q457" s="15">
        <f t="shared" si="78"/>
        <v>707.03846153846155</v>
      </c>
      <c r="R457" s="12">
        <v>40811</v>
      </c>
      <c r="S457" s="15">
        <f t="shared" si="79"/>
        <v>46955</v>
      </c>
      <c r="T457" s="20">
        <f>S457/median_percentile!$B$1</f>
        <v>0.93167455380616482</v>
      </c>
      <c r="U457" s="24" t="str" cm="1">
        <f t="array" ref="U457">_xlfn.IFS(T457&lt;1,"underpaid",T457&gt;1,"overpaid",T457=1,"median pay")</f>
        <v>underpaid</v>
      </c>
      <c r="V457" s="5"/>
    </row>
    <row r="458" spans="1:22" x14ac:dyDescent="0.3">
      <c r="A458" s="21" t="s">
        <v>469</v>
      </c>
      <c r="B458" s="8" t="s">
        <v>1468</v>
      </c>
      <c r="C458" s="8" t="s">
        <v>2013</v>
      </c>
      <c r="D458" s="9">
        <v>45269</v>
      </c>
      <c r="E458" s="10">
        <f t="shared" si="70"/>
        <v>858144</v>
      </c>
      <c r="F458" s="8">
        <v>61356</v>
      </c>
      <c r="G458" s="8">
        <v>10156</v>
      </c>
      <c r="H458" s="11">
        <f t="shared" si="71"/>
        <v>30678</v>
      </c>
      <c r="I458" s="11">
        <f t="shared" si="72"/>
        <v>12271.2</v>
      </c>
      <c r="J458" s="11">
        <f t="shared" si="73"/>
        <v>18406.800000000003</v>
      </c>
      <c r="K458" s="11">
        <f t="shared" si="74"/>
        <v>3681.3599999999997</v>
      </c>
      <c r="L458" s="8">
        <v>200</v>
      </c>
      <c r="M458" s="8">
        <f t="shared" si="75"/>
        <v>208</v>
      </c>
      <c r="N458" s="11">
        <v>5</v>
      </c>
      <c r="O458" s="11">
        <f t="shared" si="76"/>
        <v>147.49038461538461</v>
      </c>
      <c r="P458" s="11">
        <f t="shared" si="77"/>
        <v>294.98076923076923</v>
      </c>
      <c r="Q458" s="11">
        <f t="shared" si="78"/>
        <v>1474.9038461538462</v>
      </c>
      <c r="R458" s="8">
        <v>68142</v>
      </c>
      <c r="S458" s="11">
        <f t="shared" si="79"/>
        <v>78298</v>
      </c>
      <c r="T458" s="20">
        <f>S458/median_percentile!$B$1</f>
        <v>1.5535779834717303</v>
      </c>
      <c r="U458" s="24" t="str" cm="1">
        <f t="array" ref="U458">_xlfn.IFS(T458&lt;1,"underpaid",T458&gt;1,"overpaid",T458=1,"median pay")</f>
        <v>overpaid</v>
      </c>
      <c r="V458" s="5"/>
    </row>
    <row r="459" spans="1:22" x14ac:dyDescent="0.3">
      <c r="A459" s="22" t="s">
        <v>470</v>
      </c>
      <c r="B459" s="12" t="s">
        <v>1469</v>
      </c>
      <c r="C459" s="12" t="s">
        <v>2015</v>
      </c>
      <c r="D459" s="13">
        <v>44390</v>
      </c>
      <c r="E459" s="14">
        <f t="shared" si="70"/>
        <v>360864</v>
      </c>
      <c r="F459" s="12">
        <v>26122</v>
      </c>
      <c r="G459" s="12">
        <v>3950</v>
      </c>
      <c r="H459" s="15">
        <f t="shared" si="71"/>
        <v>13061</v>
      </c>
      <c r="I459" s="15">
        <f t="shared" si="72"/>
        <v>5224.4000000000005</v>
      </c>
      <c r="J459" s="15">
        <f t="shared" si="73"/>
        <v>7836.5999999999985</v>
      </c>
      <c r="K459" s="15">
        <f t="shared" si="74"/>
        <v>1567.32</v>
      </c>
      <c r="L459" s="12">
        <v>200</v>
      </c>
      <c r="M459" s="12">
        <f t="shared" si="75"/>
        <v>208</v>
      </c>
      <c r="N459" s="15">
        <v>5</v>
      </c>
      <c r="O459" s="15">
        <f t="shared" si="76"/>
        <v>62.793269230769234</v>
      </c>
      <c r="P459" s="15">
        <f t="shared" si="77"/>
        <v>125.58653846153847</v>
      </c>
      <c r="Q459" s="15">
        <f t="shared" si="78"/>
        <v>627.93269230769238</v>
      </c>
      <c r="R459" s="12">
        <v>28305</v>
      </c>
      <c r="S459" s="15">
        <f t="shared" si="79"/>
        <v>32255</v>
      </c>
      <c r="T459" s="20">
        <f>S459/median_percentile!$B$1</f>
        <v>0.63999920632558505</v>
      </c>
      <c r="U459" s="24" t="str" cm="1">
        <f t="array" ref="U459">_xlfn.IFS(T459&lt;1,"underpaid",T459&gt;1,"overpaid",T459=1,"median pay")</f>
        <v>underpaid</v>
      </c>
      <c r="V459" s="5"/>
    </row>
    <row r="460" spans="1:22" x14ac:dyDescent="0.3">
      <c r="A460" s="21" t="s">
        <v>471</v>
      </c>
      <c r="B460" s="8" t="s">
        <v>1470</v>
      </c>
      <c r="C460" s="8" t="s">
        <v>2016</v>
      </c>
      <c r="D460" s="9">
        <v>44842</v>
      </c>
      <c r="E460" s="10">
        <f t="shared" si="70"/>
        <v>659184</v>
      </c>
      <c r="F460" s="8">
        <v>47436</v>
      </c>
      <c r="G460" s="8">
        <v>7496</v>
      </c>
      <c r="H460" s="11">
        <f t="shared" si="71"/>
        <v>23718</v>
      </c>
      <c r="I460" s="11">
        <f t="shared" si="72"/>
        <v>9487.2000000000007</v>
      </c>
      <c r="J460" s="11">
        <f t="shared" si="73"/>
        <v>14230.800000000003</v>
      </c>
      <c r="K460" s="11">
        <f t="shared" si="74"/>
        <v>2846.16</v>
      </c>
      <c r="L460" s="8">
        <v>200</v>
      </c>
      <c r="M460" s="8">
        <f t="shared" si="75"/>
        <v>208</v>
      </c>
      <c r="N460" s="11">
        <v>4</v>
      </c>
      <c r="O460" s="11">
        <f t="shared" si="76"/>
        <v>114.02884615384616</v>
      </c>
      <c r="P460" s="11">
        <f t="shared" si="77"/>
        <v>228.05769230769232</v>
      </c>
      <c r="Q460" s="11">
        <f t="shared" si="78"/>
        <v>912.23076923076928</v>
      </c>
      <c r="R460" s="8">
        <v>52676</v>
      </c>
      <c r="S460" s="11">
        <f t="shared" si="79"/>
        <v>60172</v>
      </c>
      <c r="T460" s="20">
        <f>S460/median_percentile!$B$1</f>
        <v>1.1939244223538399</v>
      </c>
      <c r="U460" s="24" t="str" cm="1">
        <f t="array" ref="U460">_xlfn.IFS(T460&lt;1,"underpaid",T460&gt;1,"overpaid",T460=1,"median pay")</f>
        <v>overpaid</v>
      </c>
      <c r="V460" s="5"/>
    </row>
    <row r="461" spans="1:22" x14ac:dyDescent="0.3">
      <c r="A461" s="22" t="s">
        <v>472</v>
      </c>
      <c r="B461" s="12" t="s">
        <v>1471</v>
      </c>
      <c r="C461" s="12" t="s">
        <v>2014</v>
      </c>
      <c r="D461" s="13">
        <v>43696</v>
      </c>
      <c r="E461" s="14">
        <f t="shared" si="70"/>
        <v>990264</v>
      </c>
      <c r="F461" s="12">
        <v>71552</v>
      </c>
      <c r="G461" s="12">
        <v>10970</v>
      </c>
      <c r="H461" s="15">
        <f t="shared" si="71"/>
        <v>35776</v>
      </c>
      <c r="I461" s="15">
        <f t="shared" si="72"/>
        <v>14310.400000000001</v>
      </c>
      <c r="J461" s="15">
        <f t="shared" si="73"/>
        <v>21465.599999999999</v>
      </c>
      <c r="K461" s="15">
        <f t="shared" si="74"/>
        <v>4293.12</v>
      </c>
      <c r="L461" s="12">
        <v>200</v>
      </c>
      <c r="M461" s="12">
        <f t="shared" si="75"/>
        <v>208</v>
      </c>
      <c r="N461" s="15">
        <v>0</v>
      </c>
      <c r="O461" s="15">
        <f t="shared" si="76"/>
        <v>172</v>
      </c>
      <c r="P461" s="15">
        <f t="shared" si="77"/>
        <v>344</v>
      </c>
      <c r="Q461" s="15">
        <f t="shared" si="78"/>
        <v>0</v>
      </c>
      <c r="R461" s="12">
        <v>78625</v>
      </c>
      <c r="S461" s="15">
        <f t="shared" si="79"/>
        <v>89595</v>
      </c>
      <c r="T461" s="20">
        <f>S461/median_percentile!$B$1</f>
        <v>1.7777314801035744</v>
      </c>
      <c r="U461" s="24" t="str" cm="1">
        <f t="array" ref="U461">_xlfn.IFS(T461&lt;1,"underpaid",T461&gt;1,"overpaid",T461=1,"median pay")</f>
        <v>overpaid</v>
      </c>
      <c r="V461" s="5"/>
    </row>
    <row r="462" spans="1:22" x14ac:dyDescent="0.3">
      <c r="A462" s="21" t="s">
        <v>473</v>
      </c>
      <c r="B462" s="8" t="s">
        <v>1472</v>
      </c>
      <c r="C462" s="8" t="s">
        <v>2013</v>
      </c>
      <c r="D462" s="9">
        <v>44891</v>
      </c>
      <c r="E462" s="10">
        <f t="shared" si="70"/>
        <v>614580</v>
      </c>
      <c r="F462" s="8">
        <v>43459</v>
      </c>
      <c r="G462" s="8">
        <v>7756</v>
      </c>
      <c r="H462" s="11">
        <f t="shared" si="71"/>
        <v>21729.5</v>
      </c>
      <c r="I462" s="11">
        <f t="shared" si="72"/>
        <v>8691.8000000000011</v>
      </c>
      <c r="J462" s="11">
        <f t="shared" si="73"/>
        <v>13037.699999999997</v>
      </c>
      <c r="K462" s="11">
        <f t="shared" si="74"/>
        <v>2607.54</v>
      </c>
      <c r="L462" s="8">
        <v>200</v>
      </c>
      <c r="M462" s="8">
        <f t="shared" si="75"/>
        <v>208</v>
      </c>
      <c r="N462" s="11">
        <v>2</v>
      </c>
      <c r="O462" s="11">
        <f t="shared" si="76"/>
        <v>104.46875</v>
      </c>
      <c r="P462" s="11">
        <f t="shared" si="77"/>
        <v>208.9375</v>
      </c>
      <c r="Q462" s="11">
        <f t="shared" si="78"/>
        <v>417.875</v>
      </c>
      <c r="R462" s="8">
        <v>48408</v>
      </c>
      <c r="S462" s="11">
        <f t="shared" si="79"/>
        <v>56164</v>
      </c>
      <c r="T462" s="20">
        <f>S462/median_percentile!$B$1</f>
        <v>1.114398245979543</v>
      </c>
      <c r="U462" s="24" t="str" cm="1">
        <f t="array" ref="U462">_xlfn.IFS(T462&lt;1,"underpaid",T462&gt;1,"overpaid",T462=1,"median pay")</f>
        <v>overpaid</v>
      </c>
      <c r="V462" s="5"/>
    </row>
    <row r="463" spans="1:22" x14ac:dyDescent="0.3">
      <c r="A463" s="22" t="s">
        <v>474</v>
      </c>
      <c r="B463" s="12" t="s">
        <v>1473</v>
      </c>
      <c r="C463" s="12" t="s">
        <v>2016</v>
      </c>
      <c r="D463" s="13">
        <v>43837</v>
      </c>
      <c r="E463" s="14">
        <f t="shared" si="70"/>
        <v>418308</v>
      </c>
      <c r="F463" s="12">
        <v>29755</v>
      </c>
      <c r="G463" s="12">
        <v>5104</v>
      </c>
      <c r="H463" s="15">
        <f t="shared" si="71"/>
        <v>14877.5</v>
      </c>
      <c r="I463" s="15">
        <f t="shared" si="72"/>
        <v>5951</v>
      </c>
      <c r="J463" s="15">
        <f t="shared" si="73"/>
        <v>8926.5</v>
      </c>
      <c r="K463" s="15">
        <f t="shared" si="74"/>
        <v>1785.3</v>
      </c>
      <c r="L463" s="12">
        <v>200</v>
      </c>
      <c r="M463" s="12">
        <f t="shared" si="75"/>
        <v>208</v>
      </c>
      <c r="N463" s="15">
        <v>4</v>
      </c>
      <c r="O463" s="15">
        <f t="shared" si="76"/>
        <v>71.526442307692307</v>
      </c>
      <c r="P463" s="15">
        <f t="shared" si="77"/>
        <v>143.05288461538461</v>
      </c>
      <c r="Q463" s="15">
        <f t="shared" si="78"/>
        <v>572.21153846153845</v>
      </c>
      <c r="R463" s="12">
        <v>32874</v>
      </c>
      <c r="S463" s="15">
        <f t="shared" si="79"/>
        <v>37978</v>
      </c>
      <c r="T463" s="20">
        <f>S463/median_percentile!$B$1</f>
        <v>0.75355417323928287</v>
      </c>
      <c r="U463" s="24" t="str" cm="1">
        <f t="array" ref="U463">_xlfn.IFS(T463&lt;1,"underpaid",T463&gt;1,"overpaid",T463=1,"median pay")</f>
        <v>underpaid</v>
      </c>
      <c r="V463" s="5"/>
    </row>
    <row r="464" spans="1:22" x14ac:dyDescent="0.3">
      <c r="A464" s="21" t="s">
        <v>475</v>
      </c>
      <c r="B464" s="8" t="s">
        <v>1474</v>
      </c>
      <c r="C464" s="8" t="s">
        <v>2012</v>
      </c>
      <c r="D464" s="9">
        <v>45447</v>
      </c>
      <c r="E464" s="10">
        <f t="shared" si="70"/>
        <v>471288</v>
      </c>
      <c r="F464" s="8">
        <v>34165</v>
      </c>
      <c r="G464" s="8">
        <v>5109</v>
      </c>
      <c r="H464" s="11">
        <f t="shared" si="71"/>
        <v>17082.5</v>
      </c>
      <c r="I464" s="11">
        <f t="shared" si="72"/>
        <v>6833</v>
      </c>
      <c r="J464" s="11">
        <f t="shared" si="73"/>
        <v>10249.5</v>
      </c>
      <c r="K464" s="11">
        <f t="shared" si="74"/>
        <v>2049.9</v>
      </c>
      <c r="L464" s="8">
        <v>200</v>
      </c>
      <c r="M464" s="8">
        <f t="shared" si="75"/>
        <v>208</v>
      </c>
      <c r="N464" s="11">
        <v>4</v>
      </c>
      <c r="O464" s="11">
        <f t="shared" si="76"/>
        <v>82.12740384615384</v>
      </c>
      <c r="P464" s="11">
        <f t="shared" si="77"/>
        <v>164.25480769230768</v>
      </c>
      <c r="Q464" s="11">
        <f t="shared" si="78"/>
        <v>657.01923076923072</v>
      </c>
      <c r="R464" s="8">
        <v>37594</v>
      </c>
      <c r="S464" s="11">
        <f t="shared" si="79"/>
        <v>42703</v>
      </c>
      <c r="T464" s="20">
        <f>S464/median_percentile!$B$1</f>
        <v>0.84730696350089785</v>
      </c>
      <c r="U464" s="24" t="str" cm="1">
        <f t="array" ref="U464">_xlfn.IFS(T464&lt;1,"underpaid",T464&gt;1,"overpaid",T464=1,"median pay")</f>
        <v>underpaid</v>
      </c>
      <c r="V464" s="5"/>
    </row>
    <row r="465" spans="1:22" x14ac:dyDescent="0.3">
      <c r="A465" s="22" t="s">
        <v>476</v>
      </c>
      <c r="B465" s="12" t="s">
        <v>1475</v>
      </c>
      <c r="C465" s="12" t="s">
        <v>2016</v>
      </c>
      <c r="D465" s="13">
        <v>45055</v>
      </c>
      <c r="E465" s="14">
        <f t="shared" si="70"/>
        <v>482892</v>
      </c>
      <c r="F465" s="12">
        <v>36405</v>
      </c>
      <c r="G465" s="12">
        <v>3836</v>
      </c>
      <c r="H465" s="15">
        <f t="shared" si="71"/>
        <v>18202.5</v>
      </c>
      <c r="I465" s="15">
        <f t="shared" si="72"/>
        <v>7281</v>
      </c>
      <c r="J465" s="15">
        <f t="shared" si="73"/>
        <v>10921.5</v>
      </c>
      <c r="K465" s="15">
        <f t="shared" si="74"/>
        <v>2184.2999999999997</v>
      </c>
      <c r="L465" s="12">
        <v>200</v>
      </c>
      <c r="M465" s="12">
        <f t="shared" si="75"/>
        <v>208</v>
      </c>
      <c r="N465" s="15">
        <v>2</v>
      </c>
      <c r="O465" s="15">
        <f t="shared" si="76"/>
        <v>87.512019230769226</v>
      </c>
      <c r="P465" s="15">
        <f t="shared" si="77"/>
        <v>175.02403846153845</v>
      </c>
      <c r="Q465" s="15">
        <f t="shared" si="78"/>
        <v>350.04807692307691</v>
      </c>
      <c r="R465" s="12">
        <v>38160</v>
      </c>
      <c r="S465" s="15">
        <f t="shared" si="79"/>
        <v>41996</v>
      </c>
      <c r="T465" s="20">
        <f>S465/median_percentile!$B$1</f>
        <v>0.83327876821730806</v>
      </c>
      <c r="U465" s="24" t="str" cm="1">
        <f t="array" ref="U465">_xlfn.IFS(T465&lt;1,"underpaid",T465&gt;1,"overpaid",T465=1,"median pay")</f>
        <v>underpaid</v>
      </c>
      <c r="V465" s="5"/>
    </row>
    <row r="466" spans="1:22" x14ac:dyDescent="0.3">
      <c r="A466" s="21" t="s">
        <v>477</v>
      </c>
      <c r="B466" s="8" t="s">
        <v>1476</v>
      </c>
      <c r="C466" s="8" t="s">
        <v>2011</v>
      </c>
      <c r="D466" s="9">
        <v>43665</v>
      </c>
      <c r="E466" s="10">
        <f t="shared" si="70"/>
        <v>409272</v>
      </c>
      <c r="F466" s="8">
        <v>30954</v>
      </c>
      <c r="G466" s="8">
        <v>3152</v>
      </c>
      <c r="H466" s="11">
        <f t="shared" si="71"/>
        <v>15477</v>
      </c>
      <c r="I466" s="11">
        <f t="shared" si="72"/>
        <v>6190.8</v>
      </c>
      <c r="J466" s="11">
        <f t="shared" si="73"/>
        <v>9286.2000000000007</v>
      </c>
      <c r="K466" s="11">
        <f t="shared" si="74"/>
        <v>1857.24</v>
      </c>
      <c r="L466" s="8">
        <v>200</v>
      </c>
      <c r="M466" s="8">
        <f t="shared" si="75"/>
        <v>208</v>
      </c>
      <c r="N466" s="11">
        <v>4</v>
      </c>
      <c r="O466" s="11">
        <f t="shared" si="76"/>
        <v>74.40865384615384</v>
      </c>
      <c r="P466" s="11">
        <f t="shared" si="77"/>
        <v>148.81730769230768</v>
      </c>
      <c r="Q466" s="11">
        <f t="shared" si="78"/>
        <v>595.26923076923072</v>
      </c>
      <c r="R466" s="8">
        <v>32049</v>
      </c>
      <c r="S466" s="11">
        <f t="shared" si="79"/>
        <v>35201</v>
      </c>
      <c r="T466" s="20">
        <f>S466/median_percentile!$B$1</f>
        <v>0.69845332698393803</v>
      </c>
      <c r="U466" s="24" t="str" cm="1">
        <f t="array" ref="U466">_xlfn.IFS(T466&lt;1,"underpaid",T466&gt;1,"overpaid",T466=1,"median pay")</f>
        <v>underpaid</v>
      </c>
      <c r="V466" s="5"/>
    </row>
    <row r="467" spans="1:22" x14ac:dyDescent="0.3">
      <c r="A467" s="22" t="s">
        <v>478</v>
      </c>
      <c r="B467" s="12" t="s">
        <v>1477</v>
      </c>
      <c r="C467" s="12" t="s">
        <v>2011</v>
      </c>
      <c r="D467" s="13">
        <v>44149</v>
      </c>
      <c r="E467" s="14">
        <f t="shared" si="70"/>
        <v>320736</v>
      </c>
      <c r="F467" s="12">
        <v>23895</v>
      </c>
      <c r="G467" s="12">
        <v>2833</v>
      </c>
      <c r="H467" s="15">
        <f t="shared" si="71"/>
        <v>11947.5</v>
      </c>
      <c r="I467" s="15">
        <f t="shared" si="72"/>
        <v>4779</v>
      </c>
      <c r="J467" s="15">
        <f t="shared" si="73"/>
        <v>7168.5</v>
      </c>
      <c r="K467" s="15">
        <f t="shared" si="74"/>
        <v>1433.7</v>
      </c>
      <c r="L467" s="12">
        <v>200</v>
      </c>
      <c r="M467" s="12">
        <f t="shared" si="75"/>
        <v>208</v>
      </c>
      <c r="N467" s="15">
        <v>0</v>
      </c>
      <c r="O467" s="15">
        <f t="shared" si="76"/>
        <v>57.439903846153847</v>
      </c>
      <c r="P467" s="15">
        <f t="shared" si="77"/>
        <v>114.87980769230769</v>
      </c>
      <c r="Q467" s="15">
        <f t="shared" si="78"/>
        <v>0</v>
      </c>
      <c r="R467" s="12">
        <v>25294</v>
      </c>
      <c r="S467" s="15">
        <f t="shared" si="79"/>
        <v>28127</v>
      </c>
      <c r="T467" s="20">
        <f>S467/median_percentile!$B$1</f>
        <v>0.55809200670654879</v>
      </c>
      <c r="U467" s="24" t="str" cm="1">
        <f t="array" ref="U467">_xlfn.IFS(T467&lt;1,"underpaid",T467&gt;1,"overpaid",T467=1,"median pay")</f>
        <v>underpaid</v>
      </c>
      <c r="V467" s="5"/>
    </row>
    <row r="468" spans="1:22" x14ac:dyDescent="0.3">
      <c r="A468" s="21" t="s">
        <v>479</v>
      </c>
      <c r="B468" s="8" t="s">
        <v>1478</v>
      </c>
      <c r="C468" s="8" t="s">
        <v>2012</v>
      </c>
      <c r="D468" s="9">
        <v>45436</v>
      </c>
      <c r="E468" s="10">
        <f t="shared" si="70"/>
        <v>469860</v>
      </c>
      <c r="F468" s="8">
        <v>33397</v>
      </c>
      <c r="G468" s="8">
        <v>5758</v>
      </c>
      <c r="H468" s="11">
        <f t="shared" si="71"/>
        <v>16698.5</v>
      </c>
      <c r="I468" s="11">
        <f t="shared" si="72"/>
        <v>6679.4000000000005</v>
      </c>
      <c r="J468" s="11">
        <f t="shared" si="73"/>
        <v>10019.099999999999</v>
      </c>
      <c r="K468" s="11">
        <f t="shared" si="74"/>
        <v>2003.82</v>
      </c>
      <c r="L468" s="8">
        <v>200</v>
      </c>
      <c r="M468" s="8">
        <f t="shared" si="75"/>
        <v>208</v>
      </c>
      <c r="N468" s="11">
        <v>3</v>
      </c>
      <c r="O468" s="11">
        <f t="shared" si="76"/>
        <v>80.28125</v>
      </c>
      <c r="P468" s="11">
        <f t="shared" si="77"/>
        <v>160.5625</v>
      </c>
      <c r="Q468" s="11">
        <f t="shared" si="78"/>
        <v>481.6875</v>
      </c>
      <c r="R468" s="8">
        <v>37230</v>
      </c>
      <c r="S468" s="11">
        <f t="shared" si="79"/>
        <v>42988</v>
      </c>
      <c r="T468" s="20">
        <f>S468/median_percentile!$B$1</f>
        <v>0.85296189370715403</v>
      </c>
      <c r="U468" s="24" t="str" cm="1">
        <f t="array" ref="U468">_xlfn.IFS(T468&lt;1,"underpaid",T468&gt;1,"overpaid",T468=1,"median pay")</f>
        <v>underpaid</v>
      </c>
      <c r="V468" s="5"/>
    </row>
    <row r="469" spans="1:22" x14ac:dyDescent="0.3">
      <c r="A469" s="22" t="s">
        <v>480</v>
      </c>
      <c r="B469" s="12" t="s">
        <v>1479</v>
      </c>
      <c r="C469" s="12" t="s">
        <v>2013</v>
      </c>
      <c r="D469" s="13">
        <v>44168</v>
      </c>
      <c r="E469" s="14">
        <f t="shared" si="70"/>
        <v>590808</v>
      </c>
      <c r="F469" s="12">
        <v>42838</v>
      </c>
      <c r="G469" s="12">
        <v>6396</v>
      </c>
      <c r="H469" s="15">
        <f t="shared" si="71"/>
        <v>21419</v>
      </c>
      <c r="I469" s="15">
        <f t="shared" si="72"/>
        <v>8567.6</v>
      </c>
      <c r="J469" s="15">
        <f t="shared" si="73"/>
        <v>12851.400000000001</v>
      </c>
      <c r="K469" s="15">
        <f t="shared" si="74"/>
        <v>2570.2799999999997</v>
      </c>
      <c r="L469" s="12">
        <v>200</v>
      </c>
      <c r="M469" s="12">
        <f t="shared" si="75"/>
        <v>208</v>
      </c>
      <c r="N469" s="15">
        <v>4</v>
      </c>
      <c r="O469" s="15">
        <f t="shared" si="76"/>
        <v>102.97596153846153</v>
      </c>
      <c r="P469" s="15">
        <f t="shared" si="77"/>
        <v>205.95192307692307</v>
      </c>
      <c r="Q469" s="15">
        <f t="shared" si="78"/>
        <v>823.80769230769226</v>
      </c>
      <c r="R469" s="12">
        <v>47177</v>
      </c>
      <c r="S469" s="15">
        <f t="shared" si="79"/>
        <v>53573</v>
      </c>
      <c r="T469" s="20">
        <f>S469/median_percentile!$B$1</f>
        <v>1.0629879857535443</v>
      </c>
      <c r="U469" s="24" t="str" cm="1">
        <f t="array" ref="U469">_xlfn.IFS(T469&lt;1,"underpaid",T469&gt;1,"overpaid",T469=1,"median pay")</f>
        <v>overpaid</v>
      </c>
      <c r="V469" s="5"/>
    </row>
    <row r="470" spans="1:22" x14ac:dyDescent="0.3">
      <c r="A470" s="21" t="s">
        <v>481</v>
      </c>
      <c r="B470" s="8" t="s">
        <v>1480</v>
      </c>
      <c r="C470" s="8" t="s">
        <v>2013</v>
      </c>
      <c r="D470" s="9">
        <v>44626</v>
      </c>
      <c r="E470" s="10">
        <f t="shared" si="70"/>
        <v>448536</v>
      </c>
      <c r="F470" s="8">
        <v>32507</v>
      </c>
      <c r="G470" s="8">
        <v>4871</v>
      </c>
      <c r="H470" s="11">
        <f t="shared" si="71"/>
        <v>16253.5</v>
      </c>
      <c r="I470" s="11">
        <f t="shared" si="72"/>
        <v>6501.4000000000005</v>
      </c>
      <c r="J470" s="11">
        <f t="shared" si="73"/>
        <v>9752.0999999999985</v>
      </c>
      <c r="K470" s="11">
        <f t="shared" si="74"/>
        <v>1950.4199999999998</v>
      </c>
      <c r="L470" s="8">
        <v>200</v>
      </c>
      <c r="M470" s="8">
        <f t="shared" si="75"/>
        <v>208</v>
      </c>
      <c r="N470" s="11">
        <v>1</v>
      </c>
      <c r="O470" s="11">
        <f t="shared" si="76"/>
        <v>78.14182692307692</v>
      </c>
      <c r="P470" s="11">
        <f t="shared" si="77"/>
        <v>156.28365384615384</v>
      </c>
      <c r="Q470" s="11">
        <f t="shared" si="78"/>
        <v>156.28365384615384</v>
      </c>
      <c r="R470" s="8">
        <v>35228</v>
      </c>
      <c r="S470" s="11">
        <f t="shared" si="79"/>
        <v>40099</v>
      </c>
      <c r="T470" s="20">
        <f>S470/median_percentile!$B$1</f>
        <v>0.79563875909005233</v>
      </c>
      <c r="U470" s="24" t="str" cm="1">
        <f t="array" ref="U470">_xlfn.IFS(T470&lt;1,"underpaid",T470&gt;1,"overpaid",T470=1,"median pay")</f>
        <v>underpaid</v>
      </c>
      <c r="V470" s="5"/>
    </row>
    <row r="471" spans="1:22" x14ac:dyDescent="0.3">
      <c r="A471" s="22" t="s">
        <v>482</v>
      </c>
      <c r="B471" s="12" t="s">
        <v>1481</v>
      </c>
      <c r="C471" s="12" t="s">
        <v>2011</v>
      </c>
      <c r="D471" s="13">
        <v>43559</v>
      </c>
      <c r="E471" s="14">
        <f t="shared" si="70"/>
        <v>353916</v>
      </c>
      <c r="F471" s="12">
        <v>25186</v>
      </c>
      <c r="G471" s="12">
        <v>4307</v>
      </c>
      <c r="H471" s="15">
        <f t="shared" si="71"/>
        <v>12593</v>
      </c>
      <c r="I471" s="15">
        <f t="shared" si="72"/>
        <v>5037.2000000000007</v>
      </c>
      <c r="J471" s="15">
        <f t="shared" si="73"/>
        <v>7555.7999999999993</v>
      </c>
      <c r="K471" s="15">
        <f t="shared" si="74"/>
        <v>1511.1599999999999</v>
      </c>
      <c r="L471" s="12">
        <v>200</v>
      </c>
      <c r="M471" s="12">
        <f t="shared" si="75"/>
        <v>208</v>
      </c>
      <c r="N471" s="15">
        <v>0</v>
      </c>
      <c r="O471" s="15">
        <f t="shared" si="76"/>
        <v>60.543269230769234</v>
      </c>
      <c r="P471" s="15">
        <f t="shared" si="77"/>
        <v>121.08653846153847</v>
      </c>
      <c r="Q471" s="15">
        <f t="shared" si="78"/>
        <v>0</v>
      </c>
      <c r="R471" s="12">
        <v>27991</v>
      </c>
      <c r="S471" s="15">
        <f t="shared" si="79"/>
        <v>32298</v>
      </c>
      <c r="T471" s="20">
        <f>S471/median_percentile!$B$1</f>
        <v>0.64085240632161666</v>
      </c>
      <c r="U471" s="24" t="str" cm="1">
        <f t="array" ref="U471">_xlfn.IFS(T471&lt;1,"underpaid",T471&gt;1,"overpaid",T471=1,"median pay")</f>
        <v>underpaid</v>
      </c>
      <c r="V471" s="5"/>
    </row>
    <row r="472" spans="1:22" x14ac:dyDescent="0.3">
      <c r="A472" s="21" t="s">
        <v>483</v>
      </c>
      <c r="B472" s="8" t="s">
        <v>1482</v>
      </c>
      <c r="C472" s="8" t="s">
        <v>2016</v>
      </c>
      <c r="D472" s="9">
        <v>44929</v>
      </c>
      <c r="E472" s="10">
        <f t="shared" si="70"/>
        <v>561900</v>
      </c>
      <c r="F472" s="8">
        <v>39835</v>
      </c>
      <c r="G472" s="8">
        <v>6990</v>
      </c>
      <c r="H472" s="11">
        <f t="shared" si="71"/>
        <v>19917.5</v>
      </c>
      <c r="I472" s="11">
        <f t="shared" si="72"/>
        <v>7967</v>
      </c>
      <c r="J472" s="11">
        <f t="shared" si="73"/>
        <v>11950.5</v>
      </c>
      <c r="K472" s="11">
        <f t="shared" si="74"/>
        <v>2390.1</v>
      </c>
      <c r="L472" s="8">
        <v>200</v>
      </c>
      <c r="M472" s="8">
        <f t="shared" si="75"/>
        <v>208</v>
      </c>
      <c r="N472" s="11">
        <v>3</v>
      </c>
      <c r="O472" s="11">
        <f t="shared" si="76"/>
        <v>95.757211538461533</v>
      </c>
      <c r="P472" s="11">
        <f t="shared" si="77"/>
        <v>191.51442307692307</v>
      </c>
      <c r="Q472" s="11">
        <f t="shared" si="78"/>
        <v>574.54326923076917</v>
      </c>
      <c r="R472" s="8">
        <v>44235</v>
      </c>
      <c r="S472" s="11">
        <f t="shared" si="79"/>
        <v>51225</v>
      </c>
      <c r="T472" s="20">
        <f>S472/median_percentile!$B$1</f>
        <v>1.0163992975981428</v>
      </c>
      <c r="U472" s="24" t="str" cm="1">
        <f t="array" ref="U472">_xlfn.IFS(T472&lt;1,"underpaid",T472&gt;1,"overpaid",T472=1,"median pay")</f>
        <v>overpaid</v>
      </c>
      <c r="V472" s="5"/>
    </row>
    <row r="473" spans="1:22" x14ac:dyDescent="0.3">
      <c r="A473" s="22" t="s">
        <v>484</v>
      </c>
      <c r="B473" s="12" t="s">
        <v>1483</v>
      </c>
      <c r="C473" s="12" t="s">
        <v>2014</v>
      </c>
      <c r="D473" s="13">
        <v>43685</v>
      </c>
      <c r="E473" s="14">
        <f t="shared" si="70"/>
        <v>668988</v>
      </c>
      <c r="F473" s="12">
        <v>47592</v>
      </c>
      <c r="G473" s="12">
        <v>8157</v>
      </c>
      <c r="H473" s="15">
        <f t="shared" si="71"/>
        <v>23796</v>
      </c>
      <c r="I473" s="15">
        <f t="shared" si="72"/>
        <v>9518.4</v>
      </c>
      <c r="J473" s="15">
        <f t="shared" si="73"/>
        <v>14277.599999999999</v>
      </c>
      <c r="K473" s="15">
        <f t="shared" si="74"/>
        <v>2855.52</v>
      </c>
      <c r="L473" s="12">
        <v>200</v>
      </c>
      <c r="M473" s="12">
        <f t="shared" si="75"/>
        <v>208</v>
      </c>
      <c r="N473" s="15">
        <v>4</v>
      </c>
      <c r="O473" s="15">
        <f t="shared" si="76"/>
        <v>114.40384615384616</v>
      </c>
      <c r="P473" s="15">
        <f t="shared" si="77"/>
        <v>228.80769230769232</v>
      </c>
      <c r="Q473" s="15">
        <f t="shared" si="78"/>
        <v>915.23076923076928</v>
      </c>
      <c r="R473" s="12">
        <v>52694</v>
      </c>
      <c r="S473" s="15">
        <f t="shared" si="79"/>
        <v>60851</v>
      </c>
      <c r="T473" s="20">
        <f>S473/median_percentile!$B$1</f>
        <v>1.2073970455469905</v>
      </c>
      <c r="U473" s="24" t="str" cm="1">
        <f t="array" ref="U473">_xlfn.IFS(T473&lt;1,"underpaid",T473&gt;1,"overpaid",T473=1,"median pay")</f>
        <v>overpaid</v>
      </c>
      <c r="V473" s="5"/>
    </row>
    <row r="474" spans="1:22" x14ac:dyDescent="0.3">
      <c r="A474" s="21" t="s">
        <v>485</v>
      </c>
      <c r="B474" s="8" t="s">
        <v>1484</v>
      </c>
      <c r="C474" s="8" t="s">
        <v>2011</v>
      </c>
      <c r="D474" s="9">
        <v>44297</v>
      </c>
      <c r="E474" s="10">
        <f t="shared" si="70"/>
        <v>340524</v>
      </c>
      <c r="F474" s="8">
        <v>23767</v>
      </c>
      <c r="G474" s="8">
        <v>4610</v>
      </c>
      <c r="H474" s="11">
        <f t="shared" si="71"/>
        <v>11883.5</v>
      </c>
      <c r="I474" s="11">
        <f t="shared" si="72"/>
        <v>4753.4000000000005</v>
      </c>
      <c r="J474" s="11">
        <f t="shared" si="73"/>
        <v>7130.0999999999985</v>
      </c>
      <c r="K474" s="11">
        <f t="shared" si="74"/>
        <v>1426.02</v>
      </c>
      <c r="L474" s="8">
        <v>200</v>
      </c>
      <c r="M474" s="8">
        <f t="shared" si="75"/>
        <v>208</v>
      </c>
      <c r="N474" s="11">
        <v>2</v>
      </c>
      <c r="O474" s="11">
        <f t="shared" si="76"/>
        <v>57.13221153846154</v>
      </c>
      <c r="P474" s="11">
        <f t="shared" si="77"/>
        <v>114.26442307692308</v>
      </c>
      <c r="Q474" s="11">
        <f t="shared" si="78"/>
        <v>228.52884615384616</v>
      </c>
      <c r="R474" s="8">
        <v>26950</v>
      </c>
      <c r="S474" s="11">
        <f t="shared" si="79"/>
        <v>31560</v>
      </c>
      <c r="T474" s="20">
        <f>S474/median_percentile!$B$1</f>
        <v>0.62620911336646923</v>
      </c>
      <c r="U474" s="24" t="str" cm="1">
        <f t="array" ref="U474">_xlfn.IFS(T474&lt;1,"underpaid",T474&gt;1,"overpaid",T474=1,"median pay")</f>
        <v>underpaid</v>
      </c>
      <c r="V474" s="5"/>
    </row>
    <row r="475" spans="1:22" x14ac:dyDescent="0.3">
      <c r="A475" s="22" t="s">
        <v>486</v>
      </c>
      <c r="B475" s="12" t="s">
        <v>1485</v>
      </c>
      <c r="C475" s="12" t="s">
        <v>2011</v>
      </c>
      <c r="D475" s="13">
        <v>44050</v>
      </c>
      <c r="E475" s="14">
        <f t="shared" si="70"/>
        <v>540564</v>
      </c>
      <c r="F475" s="12">
        <v>37825</v>
      </c>
      <c r="G475" s="12">
        <v>7222</v>
      </c>
      <c r="H475" s="15">
        <f t="shared" si="71"/>
        <v>18912.5</v>
      </c>
      <c r="I475" s="15">
        <f t="shared" si="72"/>
        <v>7565</v>
      </c>
      <c r="J475" s="15">
        <f t="shared" si="73"/>
        <v>11347.5</v>
      </c>
      <c r="K475" s="15">
        <f t="shared" si="74"/>
        <v>2269.5</v>
      </c>
      <c r="L475" s="12">
        <v>200</v>
      </c>
      <c r="M475" s="12">
        <f t="shared" si="75"/>
        <v>208</v>
      </c>
      <c r="N475" s="15">
        <v>4</v>
      </c>
      <c r="O475" s="15">
        <f t="shared" si="76"/>
        <v>90.925480769230774</v>
      </c>
      <c r="P475" s="15">
        <f t="shared" si="77"/>
        <v>181.85096153846155</v>
      </c>
      <c r="Q475" s="15">
        <f t="shared" si="78"/>
        <v>727.40384615384619</v>
      </c>
      <c r="R475" s="12">
        <v>43208</v>
      </c>
      <c r="S475" s="15">
        <f t="shared" si="79"/>
        <v>50430</v>
      </c>
      <c r="T475" s="20">
        <f>S475/median_percentile!$B$1</f>
        <v>1.000625018601744</v>
      </c>
      <c r="U475" s="24" t="str" cm="1">
        <f t="array" ref="U475">_xlfn.IFS(T475&lt;1,"underpaid",T475&gt;1,"overpaid",T475=1,"median pay")</f>
        <v>overpaid</v>
      </c>
      <c r="V475" s="5"/>
    </row>
    <row r="476" spans="1:22" x14ac:dyDescent="0.3">
      <c r="A476" s="21" t="s">
        <v>487</v>
      </c>
      <c r="B476" s="8" t="s">
        <v>1486</v>
      </c>
      <c r="C476" s="8" t="s">
        <v>2015</v>
      </c>
      <c r="D476" s="9">
        <v>44675</v>
      </c>
      <c r="E476" s="10">
        <f t="shared" si="70"/>
        <v>519840</v>
      </c>
      <c r="F476" s="8">
        <v>38730</v>
      </c>
      <c r="G476" s="8">
        <v>4590</v>
      </c>
      <c r="H476" s="11">
        <f t="shared" si="71"/>
        <v>19365</v>
      </c>
      <c r="I476" s="11">
        <f t="shared" si="72"/>
        <v>7746</v>
      </c>
      <c r="J476" s="11">
        <f t="shared" si="73"/>
        <v>11619</v>
      </c>
      <c r="K476" s="11">
        <f t="shared" si="74"/>
        <v>2323.7999999999997</v>
      </c>
      <c r="L476" s="8">
        <v>200</v>
      </c>
      <c r="M476" s="8">
        <f t="shared" si="75"/>
        <v>208</v>
      </c>
      <c r="N476" s="11">
        <v>1</v>
      </c>
      <c r="O476" s="11">
        <f t="shared" si="76"/>
        <v>93.100961538461533</v>
      </c>
      <c r="P476" s="11">
        <f t="shared" si="77"/>
        <v>186.20192307692307</v>
      </c>
      <c r="Q476" s="11">
        <f t="shared" si="78"/>
        <v>186.20192307692307</v>
      </c>
      <c r="R476" s="8">
        <v>41119</v>
      </c>
      <c r="S476" s="11">
        <f t="shared" si="79"/>
        <v>45709</v>
      </c>
      <c r="T476" s="20">
        <f>S476/median_percentile!$B$1</f>
        <v>0.90695159578162043</v>
      </c>
      <c r="U476" s="24" t="str" cm="1">
        <f t="array" ref="U476">_xlfn.IFS(T476&lt;1,"underpaid",T476&gt;1,"overpaid",T476=1,"median pay")</f>
        <v>underpaid</v>
      </c>
      <c r="V476" s="5"/>
    </row>
    <row r="477" spans="1:22" x14ac:dyDescent="0.3">
      <c r="A477" s="22" t="s">
        <v>488</v>
      </c>
      <c r="B477" s="12" t="s">
        <v>1487</v>
      </c>
      <c r="C477" s="12" t="s">
        <v>2016</v>
      </c>
      <c r="D477" s="13">
        <v>44468</v>
      </c>
      <c r="E477" s="14">
        <f t="shared" si="70"/>
        <v>503316</v>
      </c>
      <c r="F477" s="12">
        <v>36511</v>
      </c>
      <c r="G477" s="12">
        <v>5432</v>
      </c>
      <c r="H477" s="15">
        <f t="shared" si="71"/>
        <v>18255.5</v>
      </c>
      <c r="I477" s="15">
        <f t="shared" si="72"/>
        <v>7302.2000000000007</v>
      </c>
      <c r="J477" s="15">
        <f t="shared" si="73"/>
        <v>10953.3</v>
      </c>
      <c r="K477" s="15">
        <f t="shared" si="74"/>
        <v>2190.66</v>
      </c>
      <c r="L477" s="12">
        <v>200</v>
      </c>
      <c r="M477" s="12">
        <f t="shared" si="75"/>
        <v>208</v>
      </c>
      <c r="N477" s="15">
        <v>0</v>
      </c>
      <c r="O477" s="15">
        <f t="shared" si="76"/>
        <v>87.76682692307692</v>
      </c>
      <c r="P477" s="15">
        <f t="shared" si="77"/>
        <v>175.53365384615384</v>
      </c>
      <c r="Q477" s="15">
        <f t="shared" si="78"/>
        <v>0</v>
      </c>
      <c r="R477" s="12">
        <v>39857</v>
      </c>
      <c r="S477" s="15">
        <f t="shared" si="79"/>
        <v>45289</v>
      </c>
      <c r="T477" s="20">
        <f>S477/median_percentile!$B$1</f>
        <v>0.89861801442503253</v>
      </c>
      <c r="U477" s="24" t="str" cm="1">
        <f t="array" ref="U477">_xlfn.IFS(T477&lt;1,"underpaid",T477&gt;1,"overpaid",T477=1,"median pay")</f>
        <v>underpaid</v>
      </c>
      <c r="V477" s="5"/>
    </row>
    <row r="478" spans="1:22" x14ac:dyDescent="0.3">
      <c r="A478" s="21" t="s">
        <v>489</v>
      </c>
      <c r="B478" s="8" t="s">
        <v>1488</v>
      </c>
      <c r="C478" s="8" t="s">
        <v>2011</v>
      </c>
      <c r="D478" s="9">
        <v>45524</v>
      </c>
      <c r="E478" s="10">
        <f t="shared" si="70"/>
        <v>417768</v>
      </c>
      <c r="F478" s="8">
        <v>30475</v>
      </c>
      <c r="G478" s="8">
        <v>4339</v>
      </c>
      <c r="H478" s="11">
        <f t="shared" si="71"/>
        <v>15237.5</v>
      </c>
      <c r="I478" s="11">
        <f t="shared" si="72"/>
        <v>6095</v>
      </c>
      <c r="J478" s="11">
        <f t="shared" si="73"/>
        <v>9142.5</v>
      </c>
      <c r="K478" s="11">
        <f t="shared" si="74"/>
        <v>1828.5</v>
      </c>
      <c r="L478" s="8">
        <v>200</v>
      </c>
      <c r="M478" s="8">
        <f t="shared" si="75"/>
        <v>208</v>
      </c>
      <c r="N478" s="11">
        <v>1</v>
      </c>
      <c r="O478" s="11">
        <f t="shared" si="76"/>
        <v>73.257211538461533</v>
      </c>
      <c r="P478" s="11">
        <f t="shared" si="77"/>
        <v>146.51442307692307</v>
      </c>
      <c r="Q478" s="11">
        <f t="shared" si="78"/>
        <v>146.51442307692307</v>
      </c>
      <c r="R478" s="8">
        <v>32786</v>
      </c>
      <c r="S478" s="11">
        <f t="shared" si="79"/>
        <v>37125</v>
      </c>
      <c r="T478" s="20">
        <f>S478/median_percentile!$B$1</f>
        <v>0.73662906634126013</v>
      </c>
      <c r="U478" s="24" t="str" cm="1">
        <f t="array" ref="U478">_xlfn.IFS(T478&lt;1,"underpaid",T478&gt;1,"overpaid",T478=1,"median pay")</f>
        <v>underpaid</v>
      </c>
      <c r="V478" s="5"/>
    </row>
    <row r="479" spans="1:22" x14ac:dyDescent="0.3">
      <c r="A479" s="22" t="s">
        <v>490</v>
      </c>
      <c r="B479" s="12" t="s">
        <v>1489</v>
      </c>
      <c r="C479" s="12" t="s">
        <v>2016</v>
      </c>
      <c r="D479" s="13">
        <v>43592</v>
      </c>
      <c r="E479" s="14">
        <f t="shared" si="70"/>
        <v>449904</v>
      </c>
      <c r="F479" s="12">
        <v>32145</v>
      </c>
      <c r="G479" s="12">
        <v>5347</v>
      </c>
      <c r="H479" s="15">
        <f t="shared" si="71"/>
        <v>16072.5</v>
      </c>
      <c r="I479" s="15">
        <f t="shared" si="72"/>
        <v>6429</v>
      </c>
      <c r="J479" s="15">
        <f t="shared" si="73"/>
        <v>9643.5</v>
      </c>
      <c r="K479" s="15">
        <f t="shared" si="74"/>
        <v>1928.6999999999998</v>
      </c>
      <c r="L479" s="12">
        <v>200</v>
      </c>
      <c r="M479" s="12">
        <f t="shared" si="75"/>
        <v>208</v>
      </c>
      <c r="N479" s="15">
        <v>4</v>
      </c>
      <c r="O479" s="15">
        <f t="shared" si="76"/>
        <v>77.271634615384613</v>
      </c>
      <c r="P479" s="15">
        <f t="shared" si="77"/>
        <v>154.54326923076923</v>
      </c>
      <c r="Q479" s="15">
        <f t="shared" si="78"/>
        <v>618.17307692307691</v>
      </c>
      <c r="R479" s="12">
        <v>35364</v>
      </c>
      <c r="S479" s="15">
        <f t="shared" si="79"/>
        <v>40711</v>
      </c>
      <c r="T479" s="20">
        <f>S479/median_percentile!$B$1</f>
        <v>0.80778197763822335</v>
      </c>
      <c r="U479" s="24" t="str" cm="1">
        <f t="array" ref="U479">_xlfn.IFS(T479&lt;1,"underpaid",T479&gt;1,"overpaid",T479=1,"median pay")</f>
        <v>underpaid</v>
      </c>
      <c r="V479" s="5"/>
    </row>
    <row r="480" spans="1:22" x14ac:dyDescent="0.3">
      <c r="A480" s="21" t="s">
        <v>491</v>
      </c>
      <c r="B480" s="8" t="s">
        <v>1490</v>
      </c>
      <c r="C480" s="8" t="s">
        <v>2014</v>
      </c>
      <c r="D480" s="9">
        <v>43542</v>
      </c>
      <c r="E480" s="10">
        <f t="shared" si="70"/>
        <v>966108</v>
      </c>
      <c r="F480" s="8">
        <v>67797</v>
      </c>
      <c r="G480" s="8">
        <v>12712</v>
      </c>
      <c r="H480" s="11">
        <f t="shared" si="71"/>
        <v>33898.5</v>
      </c>
      <c r="I480" s="11">
        <f t="shared" si="72"/>
        <v>13559.400000000001</v>
      </c>
      <c r="J480" s="11">
        <f t="shared" si="73"/>
        <v>20339.099999999999</v>
      </c>
      <c r="K480" s="11">
        <f t="shared" si="74"/>
        <v>4067.8199999999997</v>
      </c>
      <c r="L480" s="8">
        <v>200</v>
      </c>
      <c r="M480" s="8">
        <f t="shared" si="75"/>
        <v>208</v>
      </c>
      <c r="N480" s="11">
        <v>2</v>
      </c>
      <c r="O480" s="11">
        <f t="shared" si="76"/>
        <v>162.97355769230768</v>
      </c>
      <c r="P480" s="11">
        <f t="shared" si="77"/>
        <v>325.94711538461536</v>
      </c>
      <c r="Q480" s="11">
        <f t="shared" si="78"/>
        <v>651.89423076923072</v>
      </c>
      <c r="R480" s="8">
        <v>77371</v>
      </c>
      <c r="S480" s="11">
        <f t="shared" si="79"/>
        <v>90083</v>
      </c>
      <c r="T480" s="20">
        <f>S480/median_percentile!$B$1</f>
        <v>1.7874143079655149</v>
      </c>
      <c r="U480" s="24" t="str" cm="1">
        <f t="array" ref="U480">_xlfn.IFS(T480&lt;1,"underpaid",T480&gt;1,"overpaid",T480=1,"median pay")</f>
        <v>overpaid</v>
      </c>
      <c r="V480" s="5"/>
    </row>
    <row r="481" spans="1:22" x14ac:dyDescent="0.3">
      <c r="A481" s="22" t="s">
        <v>492</v>
      </c>
      <c r="B481" s="12" t="s">
        <v>1491</v>
      </c>
      <c r="C481" s="12" t="s">
        <v>2012</v>
      </c>
      <c r="D481" s="13">
        <v>44263</v>
      </c>
      <c r="E481" s="14">
        <f t="shared" si="70"/>
        <v>553236</v>
      </c>
      <c r="F481" s="12">
        <v>40598</v>
      </c>
      <c r="G481" s="12">
        <v>5505</v>
      </c>
      <c r="H481" s="15">
        <f t="shared" si="71"/>
        <v>20299</v>
      </c>
      <c r="I481" s="15">
        <f t="shared" si="72"/>
        <v>8119.6</v>
      </c>
      <c r="J481" s="15">
        <f t="shared" si="73"/>
        <v>12179.400000000001</v>
      </c>
      <c r="K481" s="15">
        <f t="shared" si="74"/>
        <v>2435.88</v>
      </c>
      <c r="L481" s="12">
        <v>200</v>
      </c>
      <c r="M481" s="12">
        <f t="shared" si="75"/>
        <v>208</v>
      </c>
      <c r="N481" s="15">
        <v>5</v>
      </c>
      <c r="O481" s="15">
        <f t="shared" si="76"/>
        <v>97.59134615384616</v>
      </c>
      <c r="P481" s="15">
        <f t="shared" si="77"/>
        <v>195.18269230769232</v>
      </c>
      <c r="Q481" s="15">
        <f t="shared" si="78"/>
        <v>975.91346153846166</v>
      </c>
      <c r="R481" s="12">
        <v>43468</v>
      </c>
      <c r="S481" s="15">
        <f t="shared" si="79"/>
        <v>48973</v>
      </c>
      <c r="T481" s="20">
        <f>S481/median_percentile!$B$1</f>
        <v>0.97171542803853295</v>
      </c>
      <c r="U481" s="24" t="str" cm="1">
        <f t="array" ref="U481">_xlfn.IFS(T481&lt;1,"underpaid",T481&gt;1,"overpaid",T481=1,"median pay")</f>
        <v>underpaid</v>
      </c>
      <c r="V481" s="5"/>
    </row>
    <row r="482" spans="1:22" x14ac:dyDescent="0.3">
      <c r="A482" s="21" t="s">
        <v>493</v>
      </c>
      <c r="B482" s="8" t="s">
        <v>1492</v>
      </c>
      <c r="C482" s="8" t="s">
        <v>2012</v>
      </c>
      <c r="D482" s="9">
        <v>44755</v>
      </c>
      <c r="E482" s="10">
        <f t="shared" si="70"/>
        <v>622944</v>
      </c>
      <c r="F482" s="8">
        <v>45374</v>
      </c>
      <c r="G482" s="8">
        <v>6538</v>
      </c>
      <c r="H482" s="11">
        <f t="shared" si="71"/>
        <v>22687</v>
      </c>
      <c r="I482" s="11">
        <f t="shared" si="72"/>
        <v>9074.8000000000011</v>
      </c>
      <c r="J482" s="11">
        <f t="shared" si="73"/>
        <v>13612.199999999997</v>
      </c>
      <c r="K482" s="11">
        <f t="shared" si="74"/>
        <v>2722.44</v>
      </c>
      <c r="L482" s="8">
        <v>200</v>
      </c>
      <c r="M482" s="8">
        <f t="shared" si="75"/>
        <v>208</v>
      </c>
      <c r="N482" s="11">
        <v>3</v>
      </c>
      <c r="O482" s="11">
        <f t="shared" si="76"/>
        <v>109.07211538461539</v>
      </c>
      <c r="P482" s="11">
        <f t="shared" si="77"/>
        <v>218.14423076923077</v>
      </c>
      <c r="Q482" s="11">
        <f t="shared" si="78"/>
        <v>654.43269230769238</v>
      </c>
      <c r="R482" s="8">
        <v>48990</v>
      </c>
      <c r="S482" s="11">
        <f t="shared" si="79"/>
        <v>55528</v>
      </c>
      <c r="T482" s="20">
        <f>S482/median_percentile!$B$1</f>
        <v>1.1017788227824241</v>
      </c>
      <c r="U482" s="24" t="str" cm="1">
        <f t="array" ref="U482">_xlfn.IFS(T482&lt;1,"underpaid",T482&gt;1,"overpaid",T482=1,"median pay")</f>
        <v>overpaid</v>
      </c>
      <c r="V482" s="5"/>
    </row>
    <row r="483" spans="1:22" x14ac:dyDescent="0.3">
      <c r="A483" s="22" t="s">
        <v>494</v>
      </c>
      <c r="B483" s="12" t="s">
        <v>1493</v>
      </c>
      <c r="C483" s="12" t="s">
        <v>2013</v>
      </c>
      <c r="D483" s="13">
        <v>45276</v>
      </c>
      <c r="E483" s="14">
        <f t="shared" si="70"/>
        <v>533508</v>
      </c>
      <c r="F483" s="12">
        <v>37158</v>
      </c>
      <c r="G483" s="12">
        <v>7301</v>
      </c>
      <c r="H483" s="15">
        <f t="shared" si="71"/>
        <v>18579</v>
      </c>
      <c r="I483" s="15">
        <f t="shared" si="72"/>
        <v>7431.6</v>
      </c>
      <c r="J483" s="15">
        <f t="shared" si="73"/>
        <v>11147.400000000001</v>
      </c>
      <c r="K483" s="15">
        <f t="shared" si="74"/>
        <v>2229.48</v>
      </c>
      <c r="L483" s="12">
        <v>200</v>
      </c>
      <c r="M483" s="12">
        <f t="shared" si="75"/>
        <v>208</v>
      </c>
      <c r="N483" s="15">
        <v>3</v>
      </c>
      <c r="O483" s="15">
        <f t="shared" si="76"/>
        <v>89.322115384615387</v>
      </c>
      <c r="P483" s="15">
        <f t="shared" si="77"/>
        <v>178.64423076923077</v>
      </c>
      <c r="Q483" s="15">
        <f t="shared" si="78"/>
        <v>535.93269230769238</v>
      </c>
      <c r="R483" s="12">
        <v>42649</v>
      </c>
      <c r="S483" s="15">
        <f t="shared" si="79"/>
        <v>49950</v>
      </c>
      <c r="T483" s="20">
        <f>S483/median_percentile!$B$1</f>
        <v>0.9911009256227864</v>
      </c>
      <c r="U483" s="24" t="str" cm="1">
        <f t="array" ref="U483">_xlfn.IFS(T483&lt;1,"underpaid",T483&gt;1,"overpaid",T483=1,"median pay")</f>
        <v>underpaid</v>
      </c>
      <c r="V483" s="5"/>
    </row>
    <row r="484" spans="1:22" x14ac:dyDescent="0.3">
      <c r="A484" s="21" t="s">
        <v>495</v>
      </c>
      <c r="B484" s="8" t="s">
        <v>1494</v>
      </c>
      <c r="C484" s="8" t="s">
        <v>2014</v>
      </c>
      <c r="D484" s="9">
        <v>44549</v>
      </c>
      <c r="E484" s="10">
        <f t="shared" si="70"/>
        <v>933660</v>
      </c>
      <c r="F484" s="8">
        <v>70641</v>
      </c>
      <c r="G484" s="8">
        <v>7164</v>
      </c>
      <c r="H484" s="11">
        <f t="shared" si="71"/>
        <v>35320.5</v>
      </c>
      <c r="I484" s="11">
        <f t="shared" si="72"/>
        <v>14128.2</v>
      </c>
      <c r="J484" s="11">
        <f t="shared" si="73"/>
        <v>21192.300000000003</v>
      </c>
      <c r="K484" s="11">
        <f t="shared" si="74"/>
        <v>4238.46</v>
      </c>
      <c r="L484" s="8">
        <v>200</v>
      </c>
      <c r="M484" s="8">
        <f t="shared" si="75"/>
        <v>208</v>
      </c>
      <c r="N484" s="11">
        <v>1</v>
      </c>
      <c r="O484" s="11">
        <f t="shared" si="76"/>
        <v>169.81009615384616</v>
      </c>
      <c r="P484" s="11">
        <f t="shared" si="77"/>
        <v>339.62019230769232</v>
      </c>
      <c r="Q484" s="11">
        <f t="shared" si="78"/>
        <v>339.62019230769232</v>
      </c>
      <c r="R484" s="8">
        <v>74544</v>
      </c>
      <c r="S484" s="11">
        <f t="shared" si="79"/>
        <v>81708</v>
      </c>
      <c r="T484" s="20">
        <f>S484/median_percentile!$B$1</f>
        <v>1.6212387273430757</v>
      </c>
      <c r="U484" s="24" t="str" cm="1">
        <f t="array" ref="U484">_xlfn.IFS(T484&lt;1,"underpaid",T484&gt;1,"overpaid",T484=1,"median pay")</f>
        <v>overpaid</v>
      </c>
      <c r="V484" s="5"/>
    </row>
    <row r="485" spans="1:22" x14ac:dyDescent="0.3">
      <c r="A485" s="22" t="s">
        <v>496</v>
      </c>
      <c r="B485" s="12" t="s">
        <v>1495</v>
      </c>
      <c r="C485" s="12" t="s">
        <v>2011</v>
      </c>
      <c r="D485" s="13">
        <v>44253</v>
      </c>
      <c r="E485" s="14">
        <f t="shared" si="70"/>
        <v>370620</v>
      </c>
      <c r="F485" s="12">
        <v>27026</v>
      </c>
      <c r="G485" s="12">
        <v>3859</v>
      </c>
      <c r="H485" s="15">
        <f t="shared" si="71"/>
        <v>13513</v>
      </c>
      <c r="I485" s="15">
        <f t="shared" si="72"/>
        <v>5405.2000000000007</v>
      </c>
      <c r="J485" s="15">
        <f t="shared" si="73"/>
        <v>8107.7999999999993</v>
      </c>
      <c r="K485" s="15">
        <f t="shared" si="74"/>
        <v>1621.56</v>
      </c>
      <c r="L485" s="12">
        <v>200</v>
      </c>
      <c r="M485" s="12">
        <f t="shared" si="75"/>
        <v>208</v>
      </c>
      <c r="N485" s="15">
        <v>2</v>
      </c>
      <c r="O485" s="15">
        <f t="shared" si="76"/>
        <v>64.96634615384616</v>
      </c>
      <c r="P485" s="15">
        <f t="shared" si="77"/>
        <v>129.93269230769232</v>
      </c>
      <c r="Q485" s="15">
        <f t="shared" si="78"/>
        <v>259.86538461538464</v>
      </c>
      <c r="R485" s="12">
        <v>29289</v>
      </c>
      <c r="S485" s="15">
        <f t="shared" si="79"/>
        <v>33148</v>
      </c>
      <c r="T485" s="20">
        <f>S485/median_percentile!$B$1</f>
        <v>0.65771798763852096</v>
      </c>
      <c r="U485" s="24" t="str" cm="1">
        <f t="array" ref="U485">_xlfn.IFS(T485&lt;1,"underpaid",T485&gt;1,"overpaid",T485=1,"median pay")</f>
        <v>underpaid</v>
      </c>
      <c r="V485" s="5"/>
    </row>
    <row r="486" spans="1:22" x14ac:dyDescent="0.3">
      <c r="A486" s="21" t="s">
        <v>497</v>
      </c>
      <c r="B486" s="8" t="s">
        <v>1496</v>
      </c>
      <c r="C486" s="8" t="s">
        <v>2016</v>
      </c>
      <c r="D486" s="9">
        <v>44769</v>
      </c>
      <c r="E486" s="10">
        <f t="shared" si="70"/>
        <v>644160</v>
      </c>
      <c r="F486" s="8">
        <v>45028</v>
      </c>
      <c r="G486" s="8">
        <v>8652</v>
      </c>
      <c r="H486" s="11">
        <f t="shared" si="71"/>
        <v>22514</v>
      </c>
      <c r="I486" s="11">
        <f t="shared" si="72"/>
        <v>9005.6</v>
      </c>
      <c r="J486" s="11">
        <f t="shared" si="73"/>
        <v>13508.400000000001</v>
      </c>
      <c r="K486" s="11">
        <f t="shared" si="74"/>
        <v>2701.68</v>
      </c>
      <c r="L486" s="8">
        <v>200</v>
      </c>
      <c r="M486" s="8">
        <f t="shared" si="75"/>
        <v>208</v>
      </c>
      <c r="N486" s="11">
        <v>1</v>
      </c>
      <c r="O486" s="11">
        <f t="shared" si="76"/>
        <v>108.24038461538461</v>
      </c>
      <c r="P486" s="11">
        <f t="shared" si="77"/>
        <v>216.48076923076923</v>
      </c>
      <c r="Q486" s="11">
        <f t="shared" si="78"/>
        <v>216.48076923076923</v>
      </c>
      <c r="R486" s="8">
        <v>51529</v>
      </c>
      <c r="S486" s="11">
        <f t="shared" si="79"/>
        <v>60181</v>
      </c>
      <c r="T486" s="20">
        <f>S486/median_percentile!$B$1</f>
        <v>1.1941029990971954</v>
      </c>
      <c r="U486" s="24" t="str" cm="1">
        <f t="array" ref="U486">_xlfn.IFS(T486&lt;1,"underpaid",T486&gt;1,"overpaid",T486=1,"median pay")</f>
        <v>overpaid</v>
      </c>
      <c r="V486" s="5"/>
    </row>
    <row r="487" spans="1:22" x14ac:dyDescent="0.3">
      <c r="A487" s="22" t="s">
        <v>498</v>
      </c>
      <c r="B487" s="12" t="s">
        <v>1497</v>
      </c>
      <c r="C487" s="12" t="s">
        <v>2012</v>
      </c>
      <c r="D487" s="13">
        <v>43844</v>
      </c>
      <c r="E487" s="14">
        <f t="shared" si="70"/>
        <v>634008</v>
      </c>
      <c r="F487" s="12">
        <v>46792</v>
      </c>
      <c r="G487" s="12">
        <v>6042</v>
      </c>
      <c r="H487" s="15">
        <f t="shared" si="71"/>
        <v>23396</v>
      </c>
      <c r="I487" s="15">
        <f t="shared" si="72"/>
        <v>9358.4</v>
      </c>
      <c r="J487" s="15">
        <f t="shared" si="73"/>
        <v>14037.599999999999</v>
      </c>
      <c r="K487" s="15">
        <f t="shared" si="74"/>
        <v>2807.52</v>
      </c>
      <c r="L487" s="12">
        <v>200</v>
      </c>
      <c r="M487" s="12">
        <f t="shared" si="75"/>
        <v>208</v>
      </c>
      <c r="N487" s="15">
        <v>0</v>
      </c>
      <c r="O487" s="15">
        <f t="shared" si="76"/>
        <v>112.48076923076923</v>
      </c>
      <c r="P487" s="15">
        <f t="shared" si="77"/>
        <v>224.96153846153845</v>
      </c>
      <c r="Q487" s="15">
        <f t="shared" si="78"/>
        <v>0</v>
      </c>
      <c r="R487" s="12">
        <v>49827</v>
      </c>
      <c r="S487" s="15">
        <f t="shared" si="79"/>
        <v>55869</v>
      </c>
      <c r="T487" s="20">
        <f>S487/median_percentile!$B$1</f>
        <v>1.1085448971695586</v>
      </c>
      <c r="U487" s="24" t="str" cm="1">
        <f t="array" ref="U487">_xlfn.IFS(T487&lt;1,"underpaid",T487&gt;1,"overpaid",T487=1,"median pay")</f>
        <v>overpaid</v>
      </c>
      <c r="V487" s="5"/>
    </row>
    <row r="488" spans="1:22" x14ac:dyDescent="0.3">
      <c r="A488" s="21" t="s">
        <v>499</v>
      </c>
      <c r="B488" s="8" t="s">
        <v>1498</v>
      </c>
      <c r="C488" s="8" t="s">
        <v>2016</v>
      </c>
      <c r="D488" s="9">
        <v>45696</v>
      </c>
      <c r="E488" s="10">
        <f t="shared" si="70"/>
        <v>479148</v>
      </c>
      <c r="F488" s="8">
        <v>35353</v>
      </c>
      <c r="G488" s="8">
        <v>4576</v>
      </c>
      <c r="H488" s="11">
        <f t="shared" si="71"/>
        <v>17676.5</v>
      </c>
      <c r="I488" s="11">
        <f t="shared" si="72"/>
        <v>7070.6</v>
      </c>
      <c r="J488" s="11">
        <f t="shared" si="73"/>
        <v>10605.900000000001</v>
      </c>
      <c r="K488" s="11">
        <f t="shared" si="74"/>
        <v>2121.1799999999998</v>
      </c>
      <c r="L488" s="8">
        <v>200</v>
      </c>
      <c r="M488" s="8">
        <f t="shared" si="75"/>
        <v>208</v>
      </c>
      <c r="N488" s="11">
        <v>4</v>
      </c>
      <c r="O488" s="11">
        <f t="shared" si="76"/>
        <v>84.98317307692308</v>
      </c>
      <c r="P488" s="11">
        <f t="shared" si="77"/>
        <v>169.96634615384616</v>
      </c>
      <c r="Q488" s="11">
        <f t="shared" si="78"/>
        <v>679.86538461538464</v>
      </c>
      <c r="R488" s="8">
        <v>37608</v>
      </c>
      <c r="S488" s="11">
        <f t="shared" si="79"/>
        <v>42184</v>
      </c>
      <c r="T488" s="20">
        <f>S488/median_percentile!$B$1</f>
        <v>0.83700903796739978</v>
      </c>
      <c r="U488" s="24" t="str" cm="1">
        <f t="array" ref="U488">_xlfn.IFS(T488&lt;1,"underpaid",T488&gt;1,"overpaid",T488=1,"median pay")</f>
        <v>underpaid</v>
      </c>
      <c r="V488" s="5"/>
    </row>
    <row r="489" spans="1:22" x14ac:dyDescent="0.3">
      <c r="A489" s="22" t="s">
        <v>500</v>
      </c>
      <c r="B489" s="12" t="s">
        <v>1499</v>
      </c>
      <c r="C489" s="12" t="s">
        <v>2016</v>
      </c>
      <c r="D489" s="13">
        <v>45664</v>
      </c>
      <c r="E489" s="14">
        <f t="shared" si="70"/>
        <v>629796</v>
      </c>
      <c r="F489" s="12">
        <v>45678</v>
      </c>
      <c r="G489" s="12">
        <v>6805</v>
      </c>
      <c r="H489" s="15">
        <f t="shared" si="71"/>
        <v>22839</v>
      </c>
      <c r="I489" s="15">
        <f t="shared" si="72"/>
        <v>9135.6</v>
      </c>
      <c r="J489" s="15">
        <f t="shared" si="73"/>
        <v>13703.400000000001</v>
      </c>
      <c r="K489" s="15">
        <f t="shared" si="74"/>
        <v>2740.68</v>
      </c>
      <c r="L489" s="12">
        <v>200</v>
      </c>
      <c r="M489" s="12">
        <f t="shared" si="75"/>
        <v>208</v>
      </c>
      <c r="N489" s="15">
        <v>5</v>
      </c>
      <c r="O489" s="15">
        <f t="shared" si="76"/>
        <v>109.80288461538461</v>
      </c>
      <c r="P489" s="15">
        <f t="shared" si="77"/>
        <v>219.60576923076923</v>
      </c>
      <c r="Q489" s="15">
        <f t="shared" si="78"/>
        <v>1098.0288461538462</v>
      </c>
      <c r="R489" s="12">
        <v>49543</v>
      </c>
      <c r="S489" s="15">
        <f t="shared" si="79"/>
        <v>56348</v>
      </c>
      <c r="T489" s="20">
        <f>S489/median_percentile!$B$1</f>
        <v>1.1180491482881434</v>
      </c>
      <c r="U489" s="24" t="str" cm="1">
        <f t="array" ref="U489">_xlfn.IFS(T489&lt;1,"underpaid",T489&gt;1,"overpaid",T489=1,"median pay")</f>
        <v>overpaid</v>
      </c>
      <c r="V489" s="5"/>
    </row>
    <row r="490" spans="1:22" x14ac:dyDescent="0.3">
      <c r="A490" s="21" t="s">
        <v>501</v>
      </c>
      <c r="B490" s="8" t="s">
        <v>1500</v>
      </c>
      <c r="C490" s="8" t="s">
        <v>2011</v>
      </c>
      <c r="D490" s="9">
        <v>45720</v>
      </c>
      <c r="E490" s="10">
        <f t="shared" si="70"/>
        <v>483492</v>
      </c>
      <c r="F490" s="8">
        <v>34946</v>
      </c>
      <c r="G490" s="8">
        <v>5345</v>
      </c>
      <c r="H490" s="11">
        <f t="shared" si="71"/>
        <v>17473</v>
      </c>
      <c r="I490" s="11">
        <f t="shared" si="72"/>
        <v>6989.2000000000007</v>
      </c>
      <c r="J490" s="11">
        <f t="shared" si="73"/>
        <v>10483.799999999999</v>
      </c>
      <c r="K490" s="11">
        <f t="shared" si="74"/>
        <v>2096.7599999999998</v>
      </c>
      <c r="L490" s="8">
        <v>200</v>
      </c>
      <c r="M490" s="8">
        <f t="shared" si="75"/>
        <v>208</v>
      </c>
      <c r="N490" s="11">
        <v>5</v>
      </c>
      <c r="O490" s="11">
        <f t="shared" si="76"/>
        <v>84.004807692307693</v>
      </c>
      <c r="P490" s="11">
        <f t="shared" si="77"/>
        <v>168.00961538461539</v>
      </c>
      <c r="Q490" s="11">
        <f t="shared" si="78"/>
        <v>840.04807692307691</v>
      </c>
      <c r="R490" s="8">
        <v>38577</v>
      </c>
      <c r="S490" s="11">
        <f t="shared" si="79"/>
        <v>43922</v>
      </c>
      <c r="T490" s="20">
        <f>S490/median_percentile!$B$1</f>
        <v>0.87149419129537586</v>
      </c>
      <c r="U490" s="24" t="str" cm="1">
        <f t="array" ref="U490">_xlfn.IFS(T490&lt;1,"underpaid",T490&gt;1,"overpaid",T490=1,"median pay")</f>
        <v>underpaid</v>
      </c>
      <c r="V490" s="5"/>
    </row>
    <row r="491" spans="1:22" x14ac:dyDescent="0.3">
      <c r="A491" s="22" t="s">
        <v>502</v>
      </c>
      <c r="B491" s="12" t="s">
        <v>1501</v>
      </c>
      <c r="C491" s="12" t="s">
        <v>2014</v>
      </c>
      <c r="D491" s="13">
        <v>44517</v>
      </c>
      <c r="E491" s="14">
        <f t="shared" si="70"/>
        <v>921396</v>
      </c>
      <c r="F491" s="12">
        <v>68316</v>
      </c>
      <c r="G491" s="12">
        <v>8467</v>
      </c>
      <c r="H491" s="15">
        <f t="shared" si="71"/>
        <v>34158</v>
      </c>
      <c r="I491" s="15">
        <f t="shared" si="72"/>
        <v>13663.2</v>
      </c>
      <c r="J491" s="15">
        <f t="shared" si="73"/>
        <v>20494.800000000003</v>
      </c>
      <c r="K491" s="15">
        <f t="shared" si="74"/>
        <v>4098.96</v>
      </c>
      <c r="L491" s="12">
        <v>200</v>
      </c>
      <c r="M491" s="12">
        <f t="shared" si="75"/>
        <v>208</v>
      </c>
      <c r="N491" s="15">
        <v>5</v>
      </c>
      <c r="O491" s="15">
        <f t="shared" si="76"/>
        <v>164.22115384615384</v>
      </c>
      <c r="P491" s="15">
        <f t="shared" si="77"/>
        <v>328.44230769230768</v>
      </c>
      <c r="Q491" s="15">
        <f t="shared" si="78"/>
        <v>1642.2115384615383</v>
      </c>
      <c r="R491" s="12">
        <v>73623</v>
      </c>
      <c r="S491" s="15">
        <f t="shared" si="79"/>
        <v>82090</v>
      </c>
      <c r="T491" s="20">
        <f>S491/median_percentile!$B$1</f>
        <v>1.6288183180054963</v>
      </c>
      <c r="U491" s="24" t="str" cm="1">
        <f t="array" ref="U491">_xlfn.IFS(T491&lt;1,"underpaid",T491&gt;1,"overpaid",T491=1,"median pay")</f>
        <v>overpaid</v>
      </c>
      <c r="V491" s="5"/>
    </row>
    <row r="492" spans="1:22" x14ac:dyDescent="0.3">
      <c r="A492" s="21" t="s">
        <v>503</v>
      </c>
      <c r="B492" s="8" t="s">
        <v>1502</v>
      </c>
      <c r="C492" s="8" t="s">
        <v>2015</v>
      </c>
      <c r="D492" s="9">
        <v>44794</v>
      </c>
      <c r="E492" s="10">
        <f t="shared" si="70"/>
        <v>485496</v>
      </c>
      <c r="F492" s="8">
        <v>35546</v>
      </c>
      <c r="G492" s="8">
        <v>4912</v>
      </c>
      <c r="H492" s="11">
        <f t="shared" si="71"/>
        <v>17773</v>
      </c>
      <c r="I492" s="11">
        <f t="shared" si="72"/>
        <v>7109.2000000000007</v>
      </c>
      <c r="J492" s="11">
        <f t="shared" si="73"/>
        <v>10663.8</v>
      </c>
      <c r="K492" s="11">
        <f t="shared" si="74"/>
        <v>2132.7599999999998</v>
      </c>
      <c r="L492" s="8">
        <v>200</v>
      </c>
      <c r="M492" s="8">
        <f t="shared" si="75"/>
        <v>208</v>
      </c>
      <c r="N492" s="11">
        <v>3</v>
      </c>
      <c r="O492" s="11">
        <f t="shared" si="76"/>
        <v>85.447115384615387</v>
      </c>
      <c r="P492" s="11">
        <f t="shared" si="77"/>
        <v>170.89423076923077</v>
      </c>
      <c r="Q492" s="11">
        <f t="shared" si="78"/>
        <v>512.68269230769238</v>
      </c>
      <c r="R492" s="8">
        <v>38718</v>
      </c>
      <c r="S492" s="11">
        <f t="shared" si="79"/>
        <v>43630</v>
      </c>
      <c r="T492" s="20">
        <f>S492/median_percentile!$B$1</f>
        <v>0.86570036806650996</v>
      </c>
      <c r="U492" s="24" t="str" cm="1">
        <f t="array" ref="U492">_xlfn.IFS(T492&lt;1,"underpaid",T492&gt;1,"overpaid",T492=1,"median pay")</f>
        <v>underpaid</v>
      </c>
      <c r="V492" s="5"/>
    </row>
    <row r="493" spans="1:22" x14ac:dyDescent="0.3">
      <c r="A493" s="22" t="s">
        <v>504</v>
      </c>
      <c r="B493" s="12" t="s">
        <v>1503</v>
      </c>
      <c r="C493" s="12" t="s">
        <v>2014</v>
      </c>
      <c r="D493" s="13">
        <v>44170</v>
      </c>
      <c r="E493" s="14">
        <f t="shared" si="70"/>
        <v>766092</v>
      </c>
      <c r="F493" s="12">
        <v>53700</v>
      </c>
      <c r="G493" s="12">
        <v>10141</v>
      </c>
      <c r="H493" s="15">
        <f t="shared" si="71"/>
        <v>26850</v>
      </c>
      <c r="I493" s="15">
        <f t="shared" si="72"/>
        <v>10740</v>
      </c>
      <c r="J493" s="15">
        <f t="shared" si="73"/>
        <v>16110</v>
      </c>
      <c r="K493" s="15">
        <f t="shared" si="74"/>
        <v>3222</v>
      </c>
      <c r="L493" s="12">
        <v>200</v>
      </c>
      <c r="M493" s="12">
        <f t="shared" si="75"/>
        <v>208</v>
      </c>
      <c r="N493" s="15">
        <v>3</v>
      </c>
      <c r="O493" s="15">
        <f t="shared" si="76"/>
        <v>129.08653846153845</v>
      </c>
      <c r="P493" s="15">
        <f t="shared" si="77"/>
        <v>258.17307692307691</v>
      </c>
      <c r="Q493" s="15">
        <f t="shared" si="78"/>
        <v>774.51923076923072</v>
      </c>
      <c r="R493" s="12">
        <v>60419</v>
      </c>
      <c r="S493" s="15">
        <f t="shared" si="79"/>
        <v>70560</v>
      </c>
      <c r="T493" s="20">
        <f>S493/median_percentile!$B$1</f>
        <v>1.4000416679067829</v>
      </c>
      <c r="U493" s="24" t="str" cm="1">
        <f t="array" ref="U493">_xlfn.IFS(T493&lt;1,"underpaid",T493&gt;1,"overpaid",T493=1,"median pay")</f>
        <v>overpaid</v>
      </c>
      <c r="V493" s="5"/>
    </row>
    <row r="494" spans="1:22" x14ac:dyDescent="0.3">
      <c r="A494" s="21" t="s">
        <v>505</v>
      </c>
      <c r="B494" s="8" t="s">
        <v>1504</v>
      </c>
      <c r="C494" s="8" t="s">
        <v>2015</v>
      </c>
      <c r="D494" s="9">
        <v>45353</v>
      </c>
      <c r="E494" s="10">
        <f t="shared" si="70"/>
        <v>494664</v>
      </c>
      <c r="F494" s="8">
        <v>35931</v>
      </c>
      <c r="G494" s="8">
        <v>5291</v>
      </c>
      <c r="H494" s="11">
        <f t="shared" si="71"/>
        <v>17965.5</v>
      </c>
      <c r="I494" s="11">
        <f t="shared" si="72"/>
        <v>7186.2000000000007</v>
      </c>
      <c r="J494" s="11">
        <f t="shared" si="73"/>
        <v>10779.3</v>
      </c>
      <c r="K494" s="11">
        <f t="shared" si="74"/>
        <v>2155.86</v>
      </c>
      <c r="L494" s="8">
        <v>200</v>
      </c>
      <c r="M494" s="8">
        <f t="shared" si="75"/>
        <v>208</v>
      </c>
      <c r="N494" s="11">
        <v>5</v>
      </c>
      <c r="O494" s="11">
        <f t="shared" si="76"/>
        <v>86.37259615384616</v>
      </c>
      <c r="P494" s="11">
        <f t="shared" si="77"/>
        <v>172.74519230769232</v>
      </c>
      <c r="Q494" s="11">
        <f t="shared" si="78"/>
        <v>863.72596153846166</v>
      </c>
      <c r="R494" s="8">
        <v>38867</v>
      </c>
      <c r="S494" s="11">
        <f t="shared" si="79"/>
        <v>44158</v>
      </c>
      <c r="T494" s="20">
        <f>S494/median_percentile!$B$1</f>
        <v>0.87617687034336345</v>
      </c>
      <c r="U494" s="24" t="str" cm="1">
        <f t="array" ref="U494">_xlfn.IFS(T494&lt;1,"underpaid",T494&gt;1,"overpaid",T494=1,"median pay")</f>
        <v>underpaid</v>
      </c>
      <c r="V494" s="5"/>
    </row>
    <row r="495" spans="1:22" x14ac:dyDescent="0.3">
      <c r="A495" s="22" t="s">
        <v>506</v>
      </c>
      <c r="B495" s="12" t="s">
        <v>1505</v>
      </c>
      <c r="C495" s="12" t="s">
        <v>2013</v>
      </c>
      <c r="D495" s="13">
        <v>44013</v>
      </c>
      <c r="E495" s="14">
        <f t="shared" si="70"/>
        <v>820296</v>
      </c>
      <c r="F495" s="12">
        <v>58532</v>
      </c>
      <c r="G495" s="12">
        <v>9826</v>
      </c>
      <c r="H495" s="15">
        <f t="shared" si="71"/>
        <v>29266</v>
      </c>
      <c r="I495" s="15">
        <f t="shared" si="72"/>
        <v>11706.400000000001</v>
      </c>
      <c r="J495" s="15">
        <f t="shared" si="73"/>
        <v>17559.599999999999</v>
      </c>
      <c r="K495" s="15">
        <f t="shared" si="74"/>
        <v>3511.92</v>
      </c>
      <c r="L495" s="12">
        <v>200</v>
      </c>
      <c r="M495" s="12">
        <f t="shared" si="75"/>
        <v>208</v>
      </c>
      <c r="N495" s="15">
        <v>0</v>
      </c>
      <c r="O495" s="15">
        <f t="shared" si="76"/>
        <v>140.70192307692307</v>
      </c>
      <c r="P495" s="15">
        <f t="shared" si="77"/>
        <v>281.40384615384613</v>
      </c>
      <c r="Q495" s="15">
        <f t="shared" si="78"/>
        <v>0</v>
      </c>
      <c r="R495" s="12">
        <v>64647</v>
      </c>
      <c r="S495" s="15">
        <f t="shared" si="79"/>
        <v>74473</v>
      </c>
      <c r="T495" s="20">
        <f>S495/median_percentile!$B$1</f>
        <v>1.477682867545661</v>
      </c>
      <c r="U495" s="24" t="str" cm="1">
        <f t="array" ref="U495">_xlfn.IFS(T495&lt;1,"underpaid",T495&gt;1,"overpaid",T495=1,"median pay")</f>
        <v>overpaid</v>
      </c>
      <c r="V495" s="5"/>
    </row>
    <row r="496" spans="1:22" x14ac:dyDescent="0.3">
      <c r="A496" s="21" t="s">
        <v>507</v>
      </c>
      <c r="B496" s="8" t="s">
        <v>1506</v>
      </c>
      <c r="C496" s="8" t="s">
        <v>2015</v>
      </c>
      <c r="D496" s="9">
        <v>43815</v>
      </c>
      <c r="E496" s="10">
        <f t="shared" si="70"/>
        <v>457560</v>
      </c>
      <c r="F496" s="8">
        <v>33001</v>
      </c>
      <c r="G496" s="8">
        <v>5129</v>
      </c>
      <c r="H496" s="11">
        <f t="shared" si="71"/>
        <v>16500.5</v>
      </c>
      <c r="I496" s="11">
        <f t="shared" si="72"/>
        <v>6600.2000000000007</v>
      </c>
      <c r="J496" s="11">
        <f t="shared" si="73"/>
        <v>9900.2999999999993</v>
      </c>
      <c r="K496" s="11">
        <f t="shared" si="74"/>
        <v>1980.06</v>
      </c>
      <c r="L496" s="8">
        <v>200</v>
      </c>
      <c r="M496" s="8">
        <f t="shared" si="75"/>
        <v>208</v>
      </c>
      <c r="N496" s="11">
        <v>4</v>
      </c>
      <c r="O496" s="11">
        <f t="shared" si="76"/>
        <v>79.32932692307692</v>
      </c>
      <c r="P496" s="11">
        <f t="shared" si="77"/>
        <v>158.65865384615384</v>
      </c>
      <c r="Q496" s="11">
        <f t="shared" si="78"/>
        <v>634.63461538461536</v>
      </c>
      <c r="R496" s="8">
        <v>35950</v>
      </c>
      <c r="S496" s="11">
        <f t="shared" si="79"/>
        <v>41079</v>
      </c>
      <c r="T496" s="20">
        <f>S496/median_percentile!$B$1</f>
        <v>0.81508378225542422</v>
      </c>
      <c r="U496" s="24" t="str" cm="1">
        <f t="array" ref="U496">_xlfn.IFS(T496&lt;1,"underpaid",T496&gt;1,"overpaid",T496=1,"median pay")</f>
        <v>underpaid</v>
      </c>
      <c r="V496" s="5"/>
    </row>
    <row r="497" spans="1:22" x14ac:dyDescent="0.3">
      <c r="A497" s="22" t="s">
        <v>508</v>
      </c>
      <c r="B497" s="12" t="s">
        <v>1507</v>
      </c>
      <c r="C497" s="12" t="s">
        <v>2013</v>
      </c>
      <c r="D497" s="13">
        <v>45445</v>
      </c>
      <c r="E497" s="14">
        <f t="shared" si="70"/>
        <v>655548</v>
      </c>
      <c r="F497" s="12">
        <v>46008</v>
      </c>
      <c r="G497" s="12">
        <v>8621</v>
      </c>
      <c r="H497" s="15">
        <f t="shared" si="71"/>
        <v>23004</v>
      </c>
      <c r="I497" s="15">
        <f t="shared" si="72"/>
        <v>9201.6</v>
      </c>
      <c r="J497" s="15">
        <f t="shared" si="73"/>
        <v>13802.400000000001</v>
      </c>
      <c r="K497" s="15">
        <f t="shared" si="74"/>
        <v>2760.48</v>
      </c>
      <c r="L497" s="12">
        <v>200</v>
      </c>
      <c r="M497" s="12">
        <f t="shared" si="75"/>
        <v>208</v>
      </c>
      <c r="N497" s="15">
        <v>5</v>
      </c>
      <c r="O497" s="15">
        <f t="shared" si="76"/>
        <v>110.59615384615384</v>
      </c>
      <c r="P497" s="15">
        <f t="shared" si="77"/>
        <v>221.19230769230768</v>
      </c>
      <c r="Q497" s="15">
        <f t="shared" si="78"/>
        <v>1105.9615384615383</v>
      </c>
      <c r="R497" s="12">
        <v>52052</v>
      </c>
      <c r="S497" s="15">
        <f t="shared" si="79"/>
        <v>60673</v>
      </c>
      <c r="T497" s="20">
        <f>S497/median_percentile!$B$1</f>
        <v>1.2038651944006269</v>
      </c>
      <c r="U497" s="24" t="str" cm="1">
        <f t="array" ref="U497">_xlfn.IFS(T497&lt;1,"underpaid",T497&gt;1,"overpaid",T497=1,"median pay")</f>
        <v>overpaid</v>
      </c>
      <c r="V497" s="5"/>
    </row>
    <row r="498" spans="1:22" x14ac:dyDescent="0.3">
      <c r="A498" s="21" t="s">
        <v>509</v>
      </c>
      <c r="B498" s="8" t="s">
        <v>1508</v>
      </c>
      <c r="C498" s="8" t="s">
        <v>2016</v>
      </c>
      <c r="D498" s="9">
        <v>44959</v>
      </c>
      <c r="E498" s="10">
        <f t="shared" si="70"/>
        <v>377928</v>
      </c>
      <c r="F498" s="8">
        <v>26672</v>
      </c>
      <c r="G498" s="8">
        <v>4822</v>
      </c>
      <c r="H498" s="11">
        <f t="shared" si="71"/>
        <v>13336</v>
      </c>
      <c r="I498" s="11">
        <f t="shared" si="72"/>
        <v>5334.4000000000005</v>
      </c>
      <c r="J498" s="11">
        <f t="shared" si="73"/>
        <v>8001.5999999999985</v>
      </c>
      <c r="K498" s="11">
        <f t="shared" si="74"/>
        <v>1600.32</v>
      </c>
      <c r="L498" s="8">
        <v>200</v>
      </c>
      <c r="M498" s="8">
        <f t="shared" si="75"/>
        <v>208</v>
      </c>
      <c r="N498" s="11">
        <v>5</v>
      </c>
      <c r="O498" s="11">
        <f t="shared" si="76"/>
        <v>64.115384615384613</v>
      </c>
      <c r="P498" s="11">
        <f t="shared" si="77"/>
        <v>128.23076923076923</v>
      </c>
      <c r="Q498" s="11">
        <f t="shared" si="78"/>
        <v>641.15384615384619</v>
      </c>
      <c r="R498" s="8">
        <v>29694</v>
      </c>
      <c r="S498" s="11">
        <f t="shared" si="79"/>
        <v>34516</v>
      </c>
      <c r="T498" s="20">
        <f>S498/median_percentile!$B$1</f>
        <v>0.68486165262855048</v>
      </c>
      <c r="U498" s="24" t="str" cm="1">
        <f t="array" ref="U498">_xlfn.IFS(T498&lt;1,"underpaid",T498&gt;1,"overpaid",T498=1,"median pay")</f>
        <v>underpaid</v>
      </c>
      <c r="V498" s="5"/>
    </row>
    <row r="499" spans="1:22" x14ac:dyDescent="0.3">
      <c r="A499" s="22" t="s">
        <v>510</v>
      </c>
      <c r="B499" s="12" t="s">
        <v>1509</v>
      </c>
      <c r="C499" s="12" t="s">
        <v>2016</v>
      </c>
      <c r="D499" s="13">
        <v>44877</v>
      </c>
      <c r="E499" s="14">
        <f t="shared" si="70"/>
        <v>565368</v>
      </c>
      <c r="F499" s="12">
        <v>39392</v>
      </c>
      <c r="G499" s="12">
        <v>7722</v>
      </c>
      <c r="H499" s="15">
        <f t="shared" si="71"/>
        <v>19696</v>
      </c>
      <c r="I499" s="15">
        <f t="shared" si="72"/>
        <v>7878.4000000000005</v>
      </c>
      <c r="J499" s="15">
        <f t="shared" si="73"/>
        <v>11817.599999999999</v>
      </c>
      <c r="K499" s="15">
        <f t="shared" si="74"/>
        <v>2363.52</v>
      </c>
      <c r="L499" s="12">
        <v>200</v>
      </c>
      <c r="M499" s="12">
        <f t="shared" si="75"/>
        <v>208</v>
      </c>
      <c r="N499" s="15">
        <v>1</v>
      </c>
      <c r="O499" s="15">
        <f t="shared" si="76"/>
        <v>94.692307692307693</v>
      </c>
      <c r="P499" s="15">
        <f t="shared" si="77"/>
        <v>189.38461538461539</v>
      </c>
      <c r="Q499" s="15">
        <f t="shared" si="78"/>
        <v>189.38461538461539</v>
      </c>
      <c r="R499" s="12">
        <v>45207</v>
      </c>
      <c r="S499" s="15">
        <f t="shared" si="79"/>
        <v>52929</v>
      </c>
      <c r="T499" s="20">
        <f>S499/median_percentile!$B$1</f>
        <v>1.0502098276734426</v>
      </c>
      <c r="U499" s="24" t="str" cm="1">
        <f t="array" ref="U499">_xlfn.IFS(T499&lt;1,"underpaid",T499&gt;1,"overpaid",T499=1,"median pay")</f>
        <v>overpaid</v>
      </c>
      <c r="V499" s="5"/>
    </row>
    <row r="500" spans="1:22" x14ac:dyDescent="0.3">
      <c r="A500" s="21" t="s">
        <v>511</v>
      </c>
      <c r="B500" s="8" t="s">
        <v>1510</v>
      </c>
      <c r="C500" s="8" t="s">
        <v>2015</v>
      </c>
      <c r="D500" s="9">
        <v>45644</v>
      </c>
      <c r="E500" s="10">
        <f t="shared" si="70"/>
        <v>572616</v>
      </c>
      <c r="F500" s="8">
        <v>40895</v>
      </c>
      <c r="G500" s="8">
        <v>6823</v>
      </c>
      <c r="H500" s="11">
        <f t="shared" si="71"/>
        <v>20447.5</v>
      </c>
      <c r="I500" s="11">
        <f t="shared" si="72"/>
        <v>8179</v>
      </c>
      <c r="J500" s="11">
        <f t="shared" si="73"/>
        <v>12268.5</v>
      </c>
      <c r="K500" s="11">
        <f t="shared" si="74"/>
        <v>2453.6999999999998</v>
      </c>
      <c r="L500" s="8">
        <v>200</v>
      </c>
      <c r="M500" s="8">
        <f t="shared" si="75"/>
        <v>208</v>
      </c>
      <c r="N500" s="11">
        <v>2</v>
      </c>
      <c r="O500" s="11">
        <f t="shared" si="76"/>
        <v>98.305288461538467</v>
      </c>
      <c r="P500" s="11">
        <f t="shared" si="77"/>
        <v>196.61057692307693</v>
      </c>
      <c r="Q500" s="11">
        <f t="shared" si="78"/>
        <v>393.22115384615387</v>
      </c>
      <c r="R500" s="8">
        <v>45065</v>
      </c>
      <c r="S500" s="11">
        <f t="shared" si="79"/>
        <v>51888</v>
      </c>
      <c r="T500" s="20">
        <f>S500/median_percentile!$B$1</f>
        <v>1.0295544510253281</v>
      </c>
      <c r="U500" s="24" t="str" cm="1">
        <f t="array" ref="U500">_xlfn.IFS(T500&lt;1,"underpaid",T500&gt;1,"overpaid",T500=1,"median pay")</f>
        <v>overpaid</v>
      </c>
      <c r="V500" s="5"/>
    </row>
    <row r="501" spans="1:22" x14ac:dyDescent="0.3">
      <c r="A501" s="22" t="s">
        <v>512</v>
      </c>
      <c r="B501" s="12" t="s">
        <v>1511</v>
      </c>
      <c r="C501" s="12" t="s">
        <v>2012</v>
      </c>
      <c r="D501" s="13">
        <v>45034</v>
      </c>
      <c r="E501" s="14">
        <f t="shared" si="70"/>
        <v>577680</v>
      </c>
      <c r="F501" s="12">
        <v>43425</v>
      </c>
      <c r="G501" s="12">
        <v>4715</v>
      </c>
      <c r="H501" s="15">
        <f t="shared" si="71"/>
        <v>21712.5</v>
      </c>
      <c r="I501" s="15">
        <f t="shared" si="72"/>
        <v>8685</v>
      </c>
      <c r="J501" s="15">
        <f t="shared" si="73"/>
        <v>13027.5</v>
      </c>
      <c r="K501" s="15">
        <f t="shared" si="74"/>
        <v>2605.5</v>
      </c>
      <c r="L501" s="12">
        <v>200</v>
      </c>
      <c r="M501" s="12">
        <f t="shared" si="75"/>
        <v>208</v>
      </c>
      <c r="N501" s="15">
        <v>0</v>
      </c>
      <c r="O501" s="15">
        <f t="shared" si="76"/>
        <v>104.38701923076923</v>
      </c>
      <c r="P501" s="15">
        <f t="shared" si="77"/>
        <v>208.77403846153845</v>
      </c>
      <c r="Q501" s="15">
        <f t="shared" si="78"/>
        <v>0</v>
      </c>
      <c r="R501" s="12">
        <v>46058</v>
      </c>
      <c r="S501" s="15">
        <f t="shared" si="79"/>
        <v>50773</v>
      </c>
      <c r="T501" s="20">
        <f>S501/median_percentile!$B$1</f>
        <v>1.0074307767096242</v>
      </c>
      <c r="U501" s="24" t="str" cm="1">
        <f t="array" ref="U501">_xlfn.IFS(T501&lt;1,"underpaid",T501&gt;1,"overpaid",T501=1,"median pay")</f>
        <v>overpaid</v>
      </c>
      <c r="V501" s="5"/>
    </row>
    <row r="502" spans="1:22" x14ac:dyDescent="0.3">
      <c r="A502" s="21" t="s">
        <v>513</v>
      </c>
      <c r="B502" s="8" t="s">
        <v>1512</v>
      </c>
      <c r="C502" s="8" t="s">
        <v>2012</v>
      </c>
      <c r="D502" s="9">
        <v>43732</v>
      </c>
      <c r="E502" s="10">
        <f t="shared" si="70"/>
        <v>385128</v>
      </c>
      <c r="F502" s="8">
        <v>28884</v>
      </c>
      <c r="G502" s="8">
        <v>3210</v>
      </c>
      <c r="H502" s="11">
        <f t="shared" si="71"/>
        <v>14442</v>
      </c>
      <c r="I502" s="11">
        <f t="shared" si="72"/>
        <v>5776.8</v>
      </c>
      <c r="J502" s="11">
        <f t="shared" si="73"/>
        <v>8665.2000000000007</v>
      </c>
      <c r="K502" s="11">
        <f t="shared" si="74"/>
        <v>1733.04</v>
      </c>
      <c r="L502" s="8">
        <v>200</v>
      </c>
      <c r="M502" s="8">
        <f t="shared" si="75"/>
        <v>208</v>
      </c>
      <c r="N502" s="11">
        <v>0</v>
      </c>
      <c r="O502" s="11">
        <f t="shared" si="76"/>
        <v>69.432692307692307</v>
      </c>
      <c r="P502" s="11">
        <f t="shared" si="77"/>
        <v>138.86538461538461</v>
      </c>
      <c r="Q502" s="11">
        <f t="shared" si="78"/>
        <v>0</v>
      </c>
      <c r="R502" s="8">
        <v>30642</v>
      </c>
      <c r="S502" s="11">
        <f t="shared" si="79"/>
        <v>33852</v>
      </c>
      <c r="T502" s="20">
        <f>S502/median_percentile!$B$1</f>
        <v>0.67168665734099231</v>
      </c>
      <c r="U502" s="24" t="str" cm="1">
        <f t="array" ref="U502">_xlfn.IFS(T502&lt;1,"underpaid",T502&gt;1,"overpaid",T502=1,"median pay")</f>
        <v>underpaid</v>
      </c>
      <c r="V502" s="5"/>
    </row>
    <row r="503" spans="1:22" x14ac:dyDescent="0.3">
      <c r="A503" s="22" t="s">
        <v>514</v>
      </c>
      <c r="B503" s="12" t="s">
        <v>1513</v>
      </c>
      <c r="C503" s="12" t="s">
        <v>2011</v>
      </c>
      <c r="D503" s="13">
        <v>45286</v>
      </c>
      <c r="E503" s="14">
        <f t="shared" si="70"/>
        <v>573564</v>
      </c>
      <c r="F503" s="12">
        <v>42891</v>
      </c>
      <c r="G503" s="12">
        <v>4906</v>
      </c>
      <c r="H503" s="15">
        <f t="shared" si="71"/>
        <v>21445.5</v>
      </c>
      <c r="I503" s="15">
        <f t="shared" si="72"/>
        <v>8578.2000000000007</v>
      </c>
      <c r="J503" s="15">
        <f t="shared" si="73"/>
        <v>12867.3</v>
      </c>
      <c r="K503" s="15">
        <f t="shared" si="74"/>
        <v>2573.46</v>
      </c>
      <c r="L503" s="12">
        <v>200</v>
      </c>
      <c r="M503" s="12">
        <f t="shared" si="75"/>
        <v>208</v>
      </c>
      <c r="N503" s="15">
        <v>4</v>
      </c>
      <c r="O503" s="15">
        <f t="shared" si="76"/>
        <v>103.10336538461539</v>
      </c>
      <c r="P503" s="15">
        <f t="shared" si="77"/>
        <v>206.20673076923077</v>
      </c>
      <c r="Q503" s="15">
        <f t="shared" si="78"/>
        <v>824.82692307692309</v>
      </c>
      <c r="R503" s="12">
        <v>45024</v>
      </c>
      <c r="S503" s="15">
        <f t="shared" si="79"/>
        <v>49930</v>
      </c>
      <c r="T503" s="20">
        <f>S503/median_percentile!$B$1</f>
        <v>0.99070408841532986</v>
      </c>
      <c r="U503" s="24" t="str" cm="1">
        <f t="array" ref="U503">_xlfn.IFS(T503&lt;1,"underpaid",T503&gt;1,"overpaid",T503=1,"median pay")</f>
        <v>underpaid</v>
      </c>
      <c r="V503" s="5"/>
    </row>
    <row r="504" spans="1:22" x14ac:dyDescent="0.3">
      <c r="A504" s="21" t="s">
        <v>515</v>
      </c>
      <c r="B504" s="8" t="s">
        <v>1514</v>
      </c>
      <c r="C504" s="8" t="s">
        <v>2014</v>
      </c>
      <c r="D504" s="9">
        <v>44149</v>
      </c>
      <c r="E504" s="10">
        <f t="shared" si="70"/>
        <v>799416</v>
      </c>
      <c r="F504" s="8">
        <v>58566</v>
      </c>
      <c r="G504" s="8">
        <v>8052</v>
      </c>
      <c r="H504" s="11">
        <f t="shared" si="71"/>
        <v>29283</v>
      </c>
      <c r="I504" s="11">
        <f t="shared" si="72"/>
        <v>11713.2</v>
      </c>
      <c r="J504" s="11">
        <f t="shared" si="73"/>
        <v>17569.800000000003</v>
      </c>
      <c r="K504" s="11">
        <f t="shared" si="74"/>
        <v>3513.96</v>
      </c>
      <c r="L504" s="8">
        <v>200</v>
      </c>
      <c r="M504" s="8">
        <f t="shared" si="75"/>
        <v>208</v>
      </c>
      <c r="N504" s="11">
        <v>4</v>
      </c>
      <c r="O504" s="11">
        <f t="shared" si="76"/>
        <v>140.78365384615384</v>
      </c>
      <c r="P504" s="11">
        <f t="shared" si="77"/>
        <v>281.56730769230768</v>
      </c>
      <c r="Q504" s="11">
        <f t="shared" si="78"/>
        <v>1126.2692307692307</v>
      </c>
      <c r="R504" s="8">
        <v>62905</v>
      </c>
      <c r="S504" s="11">
        <f t="shared" si="79"/>
        <v>70957</v>
      </c>
      <c r="T504" s="20">
        <f>S504/median_percentile!$B$1</f>
        <v>1.4079188864747958</v>
      </c>
      <c r="U504" s="24" t="str" cm="1">
        <f t="array" ref="U504">_xlfn.IFS(T504&lt;1,"underpaid",T504&gt;1,"overpaid",T504=1,"median pay")</f>
        <v>overpaid</v>
      </c>
      <c r="V504" s="5"/>
    </row>
    <row r="505" spans="1:22" x14ac:dyDescent="0.3">
      <c r="A505" s="22" t="s">
        <v>516</v>
      </c>
      <c r="B505" s="12" t="s">
        <v>1515</v>
      </c>
      <c r="C505" s="12" t="s">
        <v>2013</v>
      </c>
      <c r="D505" s="13">
        <v>44933</v>
      </c>
      <c r="E505" s="14">
        <f t="shared" si="70"/>
        <v>456816</v>
      </c>
      <c r="F505" s="12">
        <v>33379</v>
      </c>
      <c r="G505" s="12">
        <v>4689</v>
      </c>
      <c r="H505" s="15">
        <f t="shared" si="71"/>
        <v>16689.5</v>
      </c>
      <c r="I505" s="15">
        <f t="shared" si="72"/>
        <v>6675.8</v>
      </c>
      <c r="J505" s="15">
        <f t="shared" si="73"/>
        <v>10013.700000000001</v>
      </c>
      <c r="K505" s="15">
        <f t="shared" si="74"/>
        <v>2002.74</v>
      </c>
      <c r="L505" s="12">
        <v>200</v>
      </c>
      <c r="M505" s="12">
        <f t="shared" si="75"/>
        <v>208</v>
      </c>
      <c r="N505" s="15">
        <v>1</v>
      </c>
      <c r="O505" s="15">
        <f t="shared" si="76"/>
        <v>80.237980769230774</v>
      </c>
      <c r="P505" s="15">
        <f t="shared" si="77"/>
        <v>160.47596153846155</v>
      </c>
      <c r="Q505" s="15">
        <f t="shared" si="78"/>
        <v>160.47596153846155</v>
      </c>
      <c r="R505" s="12">
        <v>35866</v>
      </c>
      <c r="S505" s="15">
        <f t="shared" si="79"/>
        <v>40555</v>
      </c>
      <c r="T505" s="20">
        <f>S505/median_percentile!$B$1</f>
        <v>0.80468664742006213</v>
      </c>
      <c r="U505" s="24" t="str" cm="1">
        <f t="array" ref="U505">_xlfn.IFS(T505&lt;1,"underpaid",T505&gt;1,"overpaid",T505=1,"median pay")</f>
        <v>underpaid</v>
      </c>
      <c r="V505" s="5"/>
    </row>
    <row r="506" spans="1:22" x14ac:dyDescent="0.3">
      <c r="A506" s="21" t="s">
        <v>517</v>
      </c>
      <c r="B506" s="8" t="s">
        <v>1516</v>
      </c>
      <c r="C506" s="8" t="s">
        <v>2011</v>
      </c>
      <c r="D506" s="9">
        <v>45218</v>
      </c>
      <c r="E506" s="10">
        <f t="shared" si="70"/>
        <v>364524</v>
      </c>
      <c r="F506" s="8">
        <v>25741</v>
      </c>
      <c r="G506" s="8">
        <v>4636</v>
      </c>
      <c r="H506" s="11">
        <f t="shared" si="71"/>
        <v>12870.5</v>
      </c>
      <c r="I506" s="11">
        <f t="shared" si="72"/>
        <v>5148.2000000000007</v>
      </c>
      <c r="J506" s="11">
        <f t="shared" si="73"/>
        <v>7722.2999999999993</v>
      </c>
      <c r="K506" s="11">
        <f t="shared" si="74"/>
        <v>1544.46</v>
      </c>
      <c r="L506" s="8">
        <v>200</v>
      </c>
      <c r="M506" s="8">
        <f t="shared" si="75"/>
        <v>208</v>
      </c>
      <c r="N506" s="11">
        <v>3</v>
      </c>
      <c r="O506" s="11">
        <f t="shared" si="76"/>
        <v>61.877403846153847</v>
      </c>
      <c r="P506" s="11">
        <f t="shared" si="77"/>
        <v>123.75480769230769</v>
      </c>
      <c r="Q506" s="11">
        <f t="shared" si="78"/>
        <v>371.26442307692309</v>
      </c>
      <c r="R506" s="8">
        <v>28847</v>
      </c>
      <c r="S506" s="11">
        <f t="shared" si="79"/>
        <v>33483</v>
      </c>
      <c r="T506" s="20">
        <f>S506/median_percentile!$B$1</f>
        <v>0.66436501086341859</v>
      </c>
      <c r="U506" s="24" t="str" cm="1">
        <f t="array" ref="U506">_xlfn.IFS(T506&lt;1,"underpaid",T506&gt;1,"overpaid",T506=1,"median pay")</f>
        <v>underpaid</v>
      </c>
      <c r="V506" s="5"/>
    </row>
    <row r="507" spans="1:22" x14ac:dyDescent="0.3">
      <c r="A507" s="22" t="s">
        <v>518</v>
      </c>
      <c r="B507" s="12" t="s">
        <v>1517</v>
      </c>
      <c r="C507" s="12" t="s">
        <v>2012</v>
      </c>
      <c r="D507" s="13">
        <v>44561</v>
      </c>
      <c r="E507" s="14">
        <f t="shared" si="70"/>
        <v>448020</v>
      </c>
      <c r="F507" s="12">
        <v>32916</v>
      </c>
      <c r="G507" s="12">
        <v>4419</v>
      </c>
      <c r="H507" s="15">
        <f t="shared" si="71"/>
        <v>16458</v>
      </c>
      <c r="I507" s="15">
        <f t="shared" si="72"/>
        <v>6583.2000000000007</v>
      </c>
      <c r="J507" s="15">
        <f t="shared" si="73"/>
        <v>9874.7999999999993</v>
      </c>
      <c r="K507" s="15">
        <f t="shared" si="74"/>
        <v>1974.96</v>
      </c>
      <c r="L507" s="12">
        <v>200</v>
      </c>
      <c r="M507" s="12">
        <f t="shared" si="75"/>
        <v>208</v>
      </c>
      <c r="N507" s="15">
        <v>4</v>
      </c>
      <c r="O507" s="15">
        <f t="shared" si="76"/>
        <v>79.125</v>
      </c>
      <c r="P507" s="15">
        <f t="shared" si="77"/>
        <v>158.25</v>
      </c>
      <c r="Q507" s="15">
        <f t="shared" si="78"/>
        <v>633</v>
      </c>
      <c r="R507" s="12">
        <v>35709</v>
      </c>
      <c r="S507" s="15">
        <f t="shared" si="79"/>
        <v>40128</v>
      </c>
      <c r="T507" s="20">
        <f>S507/median_percentile!$B$1</f>
        <v>0.79621417304086428</v>
      </c>
      <c r="U507" s="24" t="str" cm="1">
        <f t="array" ref="U507">_xlfn.IFS(T507&lt;1,"underpaid",T507&gt;1,"overpaid",T507=1,"median pay")</f>
        <v>underpaid</v>
      </c>
      <c r="V507" s="5"/>
    </row>
    <row r="508" spans="1:22" x14ac:dyDescent="0.3">
      <c r="A508" s="21" t="s">
        <v>519</v>
      </c>
      <c r="B508" s="8" t="s">
        <v>1518</v>
      </c>
      <c r="C508" s="8" t="s">
        <v>2013</v>
      </c>
      <c r="D508" s="9">
        <v>45189</v>
      </c>
      <c r="E508" s="10">
        <f t="shared" si="70"/>
        <v>552984</v>
      </c>
      <c r="F508" s="8">
        <v>39852</v>
      </c>
      <c r="G508" s="8">
        <v>6230</v>
      </c>
      <c r="H508" s="11">
        <f t="shared" si="71"/>
        <v>19926</v>
      </c>
      <c r="I508" s="11">
        <f t="shared" si="72"/>
        <v>7970.4000000000005</v>
      </c>
      <c r="J508" s="11">
        <f t="shared" si="73"/>
        <v>11955.599999999999</v>
      </c>
      <c r="K508" s="11">
        <f t="shared" si="74"/>
        <v>2391.12</v>
      </c>
      <c r="L508" s="8">
        <v>200</v>
      </c>
      <c r="M508" s="8">
        <f t="shared" si="75"/>
        <v>208</v>
      </c>
      <c r="N508" s="11">
        <v>1</v>
      </c>
      <c r="O508" s="11">
        <f t="shared" si="76"/>
        <v>95.79807692307692</v>
      </c>
      <c r="P508" s="11">
        <f t="shared" si="77"/>
        <v>191.59615384615384</v>
      </c>
      <c r="Q508" s="11">
        <f t="shared" si="78"/>
        <v>191.59615384615384</v>
      </c>
      <c r="R508" s="8">
        <v>43491</v>
      </c>
      <c r="S508" s="11">
        <f t="shared" si="79"/>
        <v>49721</v>
      </c>
      <c r="T508" s="20">
        <f>S508/median_percentile!$B$1</f>
        <v>0.98655713959740865</v>
      </c>
      <c r="U508" s="24" t="str" cm="1">
        <f t="array" ref="U508">_xlfn.IFS(T508&lt;1,"underpaid",T508&gt;1,"overpaid",T508=1,"median pay")</f>
        <v>underpaid</v>
      </c>
      <c r="V508" s="5"/>
    </row>
    <row r="509" spans="1:22" x14ac:dyDescent="0.3">
      <c r="A509" s="22" t="s">
        <v>520</v>
      </c>
      <c r="B509" s="12" t="s">
        <v>1519</v>
      </c>
      <c r="C509" s="12" t="s">
        <v>2012</v>
      </c>
      <c r="D509" s="13">
        <v>44818</v>
      </c>
      <c r="E509" s="14">
        <f t="shared" si="70"/>
        <v>541272</v>
      </c>
      <c r="F509" s="12">
        <v>39577</v>
      </c>
      <c r="G509" s="12">
        <v>5529</v>
      </c>
      <c r="H509" s="15">
        <f t="shared" si="71"/>
        <v>19788.5</v>
      </c>
      <c r="I509" s="15">
        <f t="shared" si="72"/>
        <v>7915.4000000000005</v>
      </c>
      <c r="J509" s="15">
        <f t="shared" si="73"/>
        <v>11873.099999999999</v>
      </c>
      <c r="K509" s="15">
        <f t="shared" si="74"/>
        <v>2374.62</v>
      </c>
      <c r="L509" s="12">
        <v>200</v>
      </c>
      <c r="M509" s="12">
        <f t="shared" si="75"/>
        <v>208</v>
      </c>
      <c r="N509" s="15">
        <v>3</v>
      </c>
      <c r="O509" s="15">
        <f t="shared" si="76"/>
        <v>95.137019230769226</v>
      </c>
      <c r="P509" s="15">
        <f t="shared" si="77"/>
        <v>190.27403846153845</v>
      </c>
      <c r="Q509" s="15">
        <f t="shared" si="78"/>
        <v>570.82211538461536</v>
      </c>
      <c r="R509" s="12">
        <v>42861</v>
      </c>
      <c r="S509" s="15">
        <f t="shared" si="79"/>
        <v>48390</v>
      </c>
      <c r="T509" s="20">
        <f>S509/median_percentile!$B$1</f>
        <v>0.96014762344117388</v>
      </c>
      <c r="U509" s="24" t="str" cm="1">
        <f t="array" ref="U509">_xlfn.IFS(T509&lt;1,"underpaid",T509&gt;1,"overpaid",T509=1,"median pay")</f>
        <v>underpaid</v>
      </c>
      <c r="V509" s="5"/>
    </row>
    <row r="510" spans="1:22" x14ac:dyDescent="0.3">
      <c r="A510" s="21" t="s">
        <v>521</v>
      </c>
      <c r="B510" s="8" t="s">
        <v>1520</v>
      </c>
      <c r="C510" s="8" t="s">
        <v>2012</v>
      </c>
      <c r="D510" s="9">
        <v>45670</v>
      </c>
      <c r="E510" s="10">
        <f t="shared" si="70"/>
        <v>403452</v>
      </c>
      <c r="F510" s="8">
        <v>28348</v>
      </c>
      <c r="G510" s="8">
        <v>5273</v>
      </c>
      <c r="H510" s="11">
        <f t="shared" si="71"/>
        <v>14174</v>
      </c>
      <c r="I510" s="11">
        <f t="shared" si="72"/>
        <v>5669.6</v>
      </c>
      <c r="J510" s="11">
        <f t="shared" si="73"/>
        <v>8504.4000000000015</v>
      </c>
      <c r="K510" s="11">
        <f t="shared" si="74"/>
        <v>1700.8799999999999</v>
      </c>
      <c r="L510" s="8">
        <v>200</v>
      </c>
      <c r="M510" s="8">
        <f t="shared" si="75"/>
        <v>208</v>
      </c>
      <c r="N510" s="11">
        <v>1</v>
      </c>
      <c r="O510" s="11">
        <f t="shared" si="76"/>
        <v>68.144230769230774</v>
      </c>
      <c r="P510" s="11">
        <f t="shared" si="77"/>
        <v>136.28846153846155</v>
      </c>
      <c r="Q510" s="11">
        <f t="shared" si="78"/>
        <v>136.28846153846155</v>
      </c>
      <c r="R510" s="8">
        <v>31721</v>
      </c>
      <c r="S510" s="11">
        <f t="shared" si="79"/>
        <v>36994</v>
      </c>
      <c r="T510" s="20">
        <f>S510/median_percentile!$B$1</f>
        <v>0.73402978263241958</v>
      </c>
      <c r="U510" s="24" t="str" cm="1">
        <f t="array" ref="U510">_xlfn.IFS(T510&lt;1,"underpaid",T510&gt;1,"overpaid",T510=1,"median pay")</f>
        <v>underpaid</v>
      </c>
      <c r="V510" s="5"/>
    </row>
    <row r="511" spans="1:22" x14ac:dyDescent="0.3">
      <c r="A511" s="22" t="s">
        <v>522</v>
      </c>
      <c r="B511" s="12" t="s">
        <v>1521</v>
      </c>
      <c r="C511" s="12" t="s">
        <v>2014</v>
      </c>
      <c r="D511" s="13">
        <v>44062</v>
      </c>
      <c r="E511" s="14">
        <f t="shared" si="70"/>
        <v>560052</v>
      </c>
      <c r="F511" s="12">
        <v>42180</v>
      </c>
      <c r="G511" s="12">
        <v>4491</v>
      </c>
      <c r="H511" s="15">
        <f t="shared" si="71"/>
        <v>21090</v>
      </c>
      <c r="I511" s="15">
        <f t="shared" si="72"/>
        <v>8436</v>
      </c>
      <c r="J511" s="15">
        <f t="shared" si="73"/>
        <v>12654</v>
      </c>
      <c r="K511" s="15">
        <f t="shared" si="74"/>
        <v>2530.7999999999997</v>
      </c>
      <c r="L511" s="12">
        <v>200</v>
      </c>
      <c r="M511" s="12">
        <f t="shared" si="75"/>
        <v>208</v>
      </c>
      <c r="N511" s="15">
        <v>4</v>
      </c>
      <c r="O511" s="15">
        <f t="shared" si="76"/>
        <v>101.39423076923077</v>
      </c>
      <c r="P511" s="15">
        <f t="shared" si="77"/>
        <v>202.78846153846155</v>
      </c>
      <c r="Q511" s="15">
        <f t="shared" si="78"/>
        <v>811.15384615384619</v>
      </c>
      <c r="R511" s="12">
        <v>43941</v>
      </c>
      <c r="S511" s="15">
        <f t="shared" si="79"/>
        <v>48432</v>
      </c>
      <c r="T511" s="20">
        <f>S511/median_percentile!$B$1</f>
        <v>0.96098098157683265</v>
      </c>
      <c r="U511" s="24" t="str" cm="1">
        <f t="array" ref="U511">_xlfn.IFS(T511&lt;1,"underpaid",T511&gt;1,"overpaid",T511=1,"median pay")</f>
        <v>underpaid</v>
      </c>
      <c r="V511" s="5"/>
    </row>
    <row r="512" spans="1:22" x14ac:dyDescent="0.3">
      <c r="A512" s="21" t="s">
        <v>523</v>
      </c>
      <c r="B512" s="8" t="s">
        <v>1522</v>
      </c>
      <c r="C512" s="8" t="s">
        <v>2016</v>
      </c>
      <c r="D512" s="9">
        <v>44872</v>
      </c>
      <c r="E512" s="10">
        <f t="shared" si="70"/>
        <v>631632</v>
      </c>
      <c r="F512" s="8">
        <v>45638</v>
      </c>
      <c r="G512" s="8">
        <v>6998</v>
      </c>
      <c r="H512" s="11">
        <f t="shared" si="71"/>
        <v>22819</v>
      </c>
      <c r="I512" s="11">
        <f t="shared" si="72"/>
        <v>9127.6</v>
      </c>
      <c r="J512" s="11">
        <f t="shared" si="73"/>
        <v>13691.400000000001</v>
      </c>
      <c r="K512" s="11">
        <f t="shared" si="74"/>
        <v>2738.2799999999997</v>
      </c>
      <c r="L512" s="8">
        <v>200</v>
      </c>
      <c r="M512" s="8">
        <f t="shared" si="75"/>
        <v>208</v>
      </c>
      <c r="N512" s="11">
        <v>1</v>
      </c>
      <c r="O512" s="11">
        <f t="shared" si="76"/>
        <v>109.70673076923077</v>
      </c>
      <c r="P512" s="11">
        <f t="shared" si="77"/>
        <v>219.41346153846155</v>
      </c>
      <c r="Q512" s="11">
        <f t="shared" si="78"/>
        <v>219.41346153846155</v>
      </c>
      <c r="R512" s="8">
        <v>50458</v>
      </c>
      <c r="S512" s="11">
        <f t="shared" si="79"/>
        <v>57456</v>
      </c>
      <c r="T512" s="20">
        <f>S512/median_percentile!$B$1</f>
        <v>1.1400339295812376</v>
      </c>
      <c r="U512" s="24" t="str" cm="1">
        <f t="array" ref="U512">_xlfn.IFS(T512&lt;1,"underpaid",T512&gt;1,"overpaid",T512=1,"median pay")</f>
        <v>overpaid</v>
      </c>
      <c r="V512" s="5"/>
    </row>
    <row r="513" spans="1:22" x14ac:dyDescent="0.3">
      <c r="A513" s="22" t="s">
        <v>524</v>
      </c>
      <c r="B513" s="12" t="s">
        <v>1523</v>
      </c>
      <c r="C513" s="12" t="s">
        <v>2012</v>
      </c>
      <c r="D513" s="13">
        <v>45006</v>
      </c>
      <c r="E513" s="14">
        <f t="shared" si="70"/>
        <v>563124</v>
      </c>
      <c r="F513" s="12">
        <v>39709</v>
      </c>
      <c r="G513" s="12">
        <v>7218</v>
      </c>
      <c r="H513" s="15">
        <f t="shared" si="71"/>
        <v>19854.5</v>
      </c>
      <c r="I513" s="15">
        <f t="shared" si="72"/>
        <v>7941.8</v>
      </c>
      <c r="J513" s="15">
        <f t="shared" si="73"/>
        <v>11912.7</v>
      </c>
      <c r="K513" s="15">
        <f t="shared" si="74"/>
        <v>2382.54</v>
      </c>
      <c r="L513" s="12">
        <v>200</v>
      </c>
      <c r="M513" s="12">
        <f t="shared" si="75"/>
        <v>208</v>
      </c>
      <c r="N513" s="15">
        <v>4</v>
      </c>
      <c r="O513" s="15">
        <f t="shared" si="76"/>
        <v>95.45432692307692</v>
      </c>
      <c r="P513" s="15">
        <f t="shared" si="77"/>
        <v>190.90865384615384</v>
      </c>
      <c r="Q513" s="15">
        <f t="shared" si="78"/>
        <v>763.63461538461536</v>
      </c>
      <c r="R513" s="12">
        <v>45006</v>
      </c>
      <c r="S513" s="15">
        <f t="shared" si="79"/>
        <v>52224</v>
      </c>
      <c r="T513" s="20">
        <f>S513/median_percentile!$B$1</f>
        <v>1.0362213161105984</v>
      </c>
      <c r="U513" s="24" t="str" cm="1">
        <f t="array" ref="U513">_xlfn.IFS(T513&lt;1,"underpaid",T513&gt;1,"overpaid",T513=1,"median pay")</f>
        <v>overpaid</v>
      </c>
      <c r="V513" s="5"/>
    </row>
    <row r="514" spans="1:22" x14ac:dyDescent="0.3">
      <c r="A514" s="21" t="s">
        <v>525</v>
      </c>
      <c r="B514" s="8" t="s">
        <v>1524</v>
      </c>
      <c r="C514" s="8" t="s">
        <v>2016</v>
      </c>
      <c r="D514" s="9">
        <v>45600</v>
      </c>
      <c r="E514" s="10">
        <f t="shared" ref="E514:E577" si="80">(F514*12)+(G514*12)</f>
        <v>552576</v>
      </c>
      <c r="F514" s="8">
        <v>40967</v>
      </c>
      <c r="G514" s="8">
        <v>5081</v>
      </c>
      <c r="H514" s="11">
        <f t="shared" ref="H514:H577" si="81">F514*50%</f>
        <v>20483.5</v>
      </c>
      <c r="I514" s="11">
        <f t="shared" ref="I514:I577" si="82">H514*40%</f>
        <v>8193.4</v>
      </c>
      <c r="J514" s="11">
        <f t="shared" ref="J514:J577" si="83">F514-(H514+I514)</f>
        <v>12290.099999999999</v>
      </c>
      <c r="K514" s="11">
        <f t="shared" ref="K514:K577" si="84">H514*12%</f>
        <v>2458.02</v>
      </c>
      <c r="L514" s="8">
        <v>200</v>
      </c>
      <c r="M514" s="8">
        <f t="shared" si="75"/>
        <v>208</v>
      </c>
      <c r="N514" s="11">
        <v>1</v>
      </c>
      <c r="O514" s="11">
        <f t="shared" si="76"/>
        <v>98.478365384615387</v>
      </c>
      <c r="P514" s="11">
        <f t="shared" si="77"/>
        <v>196.95673076923077</v>
      </c>
      <c r="Q514" s="11">
        <f t="shared" si="78"/>
        <v>196.95673076923077</v>
      </c>
      <c r="R514" s="8">
        <v>43391</v>
      </c>
      <c r="S514" s="11">
        <f t="shared" si="79"/>
        <v>48472</v>
      </c>
      <c r="T514" s="20">
        <f>S514/median_percentile!$B$1</f>
        <v>0.96177465599174583</v>
      </c>
      <c r="U514" s="24" t="str" cm="1">
        <f t="array" ref="U514">_xlfn.IFS(T514&lt;1,"underpaid",T514&gt;1,"overpaid",T514=1,"median pay")</f>
        <v>underpaid</v>
      </c>
      <c r="V514" s="5"/>
    </row>
    <row r="515" spans="1:22" x14ac:dyDescent="0.3">
      <c r="A515" s="22" t="s">
        <v>526</v>
      </c>
      <c r="B515" s="12" t="s">
        <v>1525</v>
      </c>
      <c r="C515" s="12" t="s">
        <v>2012</v>
      </c>
      <c r="D515" s="13">
        <v>43901</v>
      </c>
      <c r="E515" s="14">
        <f t="shared" si="80"/>
        <v>535164</v>
      </c>
      <c r="F515" s="12">
        <v>37893</v>
      </c>
      <c r="G515" s="12">
        <v>6704</v>
      </c>
      <c r="H515" s="15">
        <f t="shared" si="81"/>
        <v>18946.5</v>
      </c>
      <c r="I515" s="15">
        <f t="shared" si="82"/>
        <v>7578.6</v>
      </c>
      <c r="J515" s="15">
        <f t="shared" si="83"/>
        <v>11367.900000000001</v>
      </c>
      <c r="K515" s="15">
        <f t="shared" si="84"/>
        <v>2273.58</v>
      </c>
      <c r="L515" s="12">
        <v>200</v>
      </c>
      <c r="M515" s="12">
        <f t="shared" ref="M515:M578" si="85">8*26</f>
        <v>208</v>
      </c>
      <c r="N515" s="15">
        <v>1</v>
      </c>
      <c r="O515" s="15">
        <f t="shared" ref="O515:O578" si="86">H515/M515</f>
        <v>91.088942307692307</v>
      </c>
      <c r="P515" s="15">
        <f t="shared" ref="P515:P578" si="87">O515*2</f>
        <v>182.17788461538461</v>
      </c>
      <c r="Q515" s="15">
        <f t="shared" ref="Q515:Q578" si="88">P515*N515</f>
        <v>182.17788461538461</v>
      </c>
      <c r="R515" s="12">
        <v>42124</v>
      </c>
      <c r="S515" s="15">
        <f t="shared" ref="S515:T578" si="89">R515+G515</f>
        <v>48828</v>
      </c>
      <c r="T515" s="20">
        <f>S515/median_percentile!$B$1</f>
        <v>0.96883835828447273</v>
      </c>
      <c r="U515" s="24" t="str" cm="1">
        <f t="array" ref="U515">_xlfn.IFS(T515&lt;1,"underpaid",T515&gt;1,"overpaid",T515=1,"median pay")</f>
        <v>underpaid</v>
      </c>
      <c r="V515" s="5"/>
    </row>
    <row r="516" spans="1:22" x14ac:dyDescent="0.3">
      <c r="A516" s="21" t="s">
        <v>527</v>
      </c>
      <c r="B516" s="8" t="s">
        <v>1526</v>
      </c>
      <c r="C516" s="8" t="s">
        <v>2012</v>
      </c>
      <c r="D516" s="9">
        <v>43864</v>
      </c>
      <c r="E516" s="10">
        <f t="shared" si="80"/>
        <v>367860</v>
      </c>
      <c r="F516" s="8">
        <v>25702</v>
      </c>
      <c r="G516" s="8">
        <v>4953</v>
      </c>
      <c r="H516" s="11">
        <f t="shared" si="81"/>
        <v>12851</v>
      </c>
      <c r="I516" s="11">
        <f t="shared" si="82"/>
        <v>5140.4000000000005</v>
      </c>
      <c r="J516" s="11">
        <f t="shared" si="83"/>
        <v>7710.5999999999985</v>
      </c>
      <c r="K516" s="11">
        <f t="shared" si="84"/>
        <v>1542.12</v>
      </c>
      <c r="L516" s="8">
        <v>200</v>
      </c>
      <c r="M516" s="8">
        <f t="shared" si="85"/>
        <v>208</v>
      </c>
      <c r="N516" s="11">
        <v>4</v>
      </c>
      <c r="O516" s="11">
        <f t="shared" si="86"/>
        <v>61.783653846153847</v>
      </c>
      <c r="P516" s="11">
        <f t="shared" si="87"/>
        <v>123.56730769230769</v>
      </c>
      <c r="Q516" s="11">
        <f t="shared" si="88"/>
        <v>494.26923076923077</v>
      </c>
      <c r="R516" s="8">
        <v>28913</v>
      </c>
      <c r="S516" s="11">
        <f t="shared" si="89"/>
        <v>33866</v>
      </c>
      <c r="T516" s="20">
        <f>S516/median_percentile!$B$1</f>
        <v>0.67196444338621186</v>
      </c>
      <c r="U516" s="24" t="str" cm="1">
        <f t="array" ref="U516">_xlfn.IFS(T516&lt;1,"underpaid",T516&gt;1,"overpaid",T516=1,"median pay")</f>
        <v>underpaid</v>
      </c>
      <c r="V516" s="5"/>
    </row>
    <row r="517" spans="1:22" x14ac:dyDescent="0.3">
      <c r="A517" s="22" t="s">
        <v>528</v>
      </c>
      <c r="B517" s="12" t="s">
        <v>1527</v>
      </c>
      <c r="C517" s="12" t="s">
        <v>2011</v>
      </c>
      <c r="D517" s="13">
        <v>45292</v>
      </c>
      <c r="E517" s="14">
        <f t="shared" si="80"/>
        <v>431184</v>
      </c>
      <c r="F517" s="12">
        <v>31892</v>
      </c>
      <c r="G517" s="12">
        <v>4040</v>
      </c>
      <c r="H517" s="15">
        <f t="shared" si="81"/>
        <v>15946</v>
      </c>
      <c r="I517" s="15">
        <f t="shared" si="82"/>
        <v>6378.4000000000005</v>
      </c>
      <c r="J517" s="15">
        <f t="shared" si="83"/>
        <v>9567.5999999999985</v>
      </c>
      <c r="K517" s="15">
        <f t="shared" si="84"/>
        <v>1913.52</v>
      </c>
      <c r="L517" s="12">
        <v>200</v>
      </c>
      <c r="M517" s="12">
        <f t="shared" si="85"/>
        <v>208</v>
      </c>
      <c r="N517" s="15">
        <v>2</v>
      </c>
      <c r="O517" s="15">
        <f t="shared" si="86"/>
        <v>76.663461538461533</v>
      </c>
      <c r="P517" s="15">
        <f t="shared" si="87"/>
        <v>153.32692307692307</v>
      </c>
      <c r="Q517" s="15">
        <f t="shared" si="88"/>
        <v>306.65384615384613</v>
      </c>
      <c r="R517" s="12">
        <v>33819</v>
      </c>
      <c r="S517" s="15">
        <f t="shared" si="89"/>
        <v>37859</v>
      </c>
      <c r="T517" s="20">
        <f>S517/median_percentile!$B$1</f>
        <v>0.75119299185491628</v>
      </c>
      <c r="U517" s="24" t="str" cm="1">
        <f t="array" ref="U517">_xlfn.IFS(T517&lt;1,"underpaid",T517&gt;1,"overpaid",T517=1,"median pay")</f>
        <v>underpaid</v>
      </c>
      <c r="V517" s="5"/>
    </row>
    <row r="518" spans="1:22" x14ac:dyDescent="0.3">
      <c r="A518" s="21" t="s">
        <v>529</v>
      </c>
      <c r="B518" s="8" t="s">
        <v>1528</v>
      </c>
      <c r="C518" s="8" t="s">
        <v>2011</v>
      </c>
      <c r="D518" s="9">
        <v>45490</v>
      </c>
      <c r="E518" s="10">
        <f t="shared" si="80"/>
        <v>470700</v>
      </c>
      <c r="F518" s="8">
        <v>35463</v>
      </c>
      <c r="G518" s="8">
        <v>3762</v>
      </c>
      <c r="H518" s="11">
        <f t="shared" si="81"/>
        <v>17731.5</v>
      </c>
      <c r="I518" s="11">
        <f t="shared" si="82"/>
        <v>7092.6</v>
      </c>
      <c r="J518" s="11">
        <f t="shared" si="83"/>
        <v>10638.900000000001</v>
      </c>
      <c r="K518" s="11">
        <f t="shared" si="84"/>
        <v>2127.7799999999997</v>
      </c>
      <c r="L518" s="8">
        <v>200</v>
      </c>
      <c r="M518" s="8">
        <f t="shared" si="85"/>
        <v>208</v>
      </c>
      <c r="N518" s="11">
        <v>3</v>
      </c>
      <c r="O518" s="11">
        <f t="shared" si="86"/>
        <v>85.24759615384616</v>
      </c>
      <c r="P518" s="11">
        <f t="shared" si="87"/>
        <v>170.49519230769232</v>
      </c>
      <c r="Q518" s="11">
        <f t="shared" si="88"/>
        <v>511.48557692307696</v>
      </c>
      <c r="R518" s="8">
        <v>36898</v>
      </c>
      <c r="S518" s="11">
        <f t="shared" si="89"/>
        <v>40660</v>
      </c>
      <c r="T518" s="20">
        <f>S518/median_percentile!$B$1</f>
        <v>0.80677004275920905</v>
      </c>
      <c r="U518" s="24" t="str" cm="1">
        <f t="array" ref="U518">_xlfn.IFS(T518&lt;1,"underpaid",T518&gt;1,"overpaid",T518=1,"median pay")</f>
        <v>underpaid</v>
      </c>
      <c r="V518" s="5"/>
    </row>
    <row r="519" spans="1:22" x14ac:dyDescent="0.3">
      <c r="A519" s="22" t="s">
        <v>530</v>
      </c>
      <c r="B519" s="12" t="s">
        <v>1529</v>
      </c>
      <c r="C519" s="12" t="s">
        <v>2012</v>
      </c>
      <c r="D519" s="13">
        <v>45721</v>
      </c>
      <c r="E519" s="14">
        <f t="shared" si="80"/>
        <v>691872</v>
      </c>
      <c r="F519" s="12">
        <v>48633</v>
      </c>
      <c r="G519" s="12">
        <v>9023</v>
      </c>
      <c r="H519" s="15">
        <f t="shared" si="81"/>
        <v>24316.5</v>
      </c>
      <c r="I519" s="15">
        <f t="shared" si="82"/>
        <v>9726.6</v>
      </c>
      <c r="J519" s="15">
        <f t="shared" si="83"/>
        <v>14589.900000000001</v>
      </c>
      <c r="K519" s="15">
        <f t="shared" si="84"/>
        <v>2917.98</v>
      </c>
      <c r="L519" s="12">
        <v>200</v>
      </c>
      <c r="M519" s="12">
        <f t="shared" si="85"/>
        <v>208</v>
      </c>
      <c r="N519" s="15">
        <v>1</v>
      </c>
      <c r="O519" s="15">
        <f t="shared" si="86"/>
        <v>116.90625</v>
      </c>
      <c r="P519" s="15">
        <f t="shared" si="87"/>
        <v>233.8125</v>
      </c>
      <c r="Q519" s="15">
        <f t="shared" si="88"/>
        <v>233.8125</v>
      </c>
      <c r="R519" s="12">
        <v>55349</v>
      </c>
      <c r="S519" s="15">
        <f t="shared" si="89"/>
        <v>64372</v>
      </c>
      <c r="T519" s="20">
        <f>S519/median_percentile!$B$1</f>
        <v>1.2772602359197198</v>
      </c>
      <c r="U519" s="24" t="str" cm="1">
        <f t="array" ref="U519">_xlfn.IFS(T519&lt;1,"underpaid",T519&gt;1,"overpaid",T519=1,"median pay")</f>
        <v>overpaid</v>
      </c>
      <c r="V519" s="5"/>
    </row>
    <row r="520" spans="1:22" x14ac:dyDescent="0.3">
      <c r="A520" s="21" t="s">
        <v>531</v>
      </c>
      <c r="B520" s="8" t="s">
        <v>1530</v>
      </c>
      <c r="C520" s="8" t="s">
        <v>2014</v>
      </c>
      <c r="D520" s="9">
        <v>43665</v>
      </c>
      <c r="E520" s="10">
        <f t="shared" si="80"/>
        <v>714336</v>
      </c>
      <c r="F520" s="8">
        <v>50250</v>
      </c>
      <c r="G520" s="8">
        <v>9278</v>
      </c>
      <c r="H520" s="11">
        <f t="shared" si="81"/>
        <v>25125</v>
      </c>
      <c r="I520" s="11">
        <f t="shared" si="82"/>
        <v>10050</v>
      </c>
      <c r="J520" s="11">
        <f t="shared" si="83"/>
        <v>15075</v>
      </c>
      <c r="K520" s="11">
        <f t="shared" si="84"/>
        <v>3015</v>
      </c>
      <c r="L520" s="8">
        <v>200</v>
      </c>
      <c r="M520" s="8">
        <f t="shared" si="85"/>
        <v>208</v>
      </c>
      <c r="N520" s="11">
        <v>3</v>
      </c>
      <c r="O520" s="11">
        <f t="shared" si="86"/>
        <v>120.79326923076923</v>
      </c>
      <c r="P520" s="11">
        <f t="shared" si="87"/>
        <v>241.58653846153845</v>
      </c>
      <c r="Q520" s="11">
        <f t="shared" si="88"/>
        <v>724.75961538461536</v>
      </c>
      <c r="R520" s="8">
        <v>56313</v>
      </c>
      <c r="S520" s="11">
        <f t="shared" si="89"/>
        <v>65591</v>
      </c>
      <c r="T520" s="20">
        <f>S520/median_percentile!$B$1</f>
        <v>1.3014474637141979</v>
      </c>
      <c r="U520" s="24" t="str" cm="1">
        <f t="array" ref="U520">_xlfn.IFS(T520&lt;1,"underpaid",T520&gt;1,"overpaid",T520=1,"median pay")</f>
        <v>overpaid</v>
      </c>
      <c r="V520" s="5"/>
    </row>
    <row r="521" spans="1:22" x14ac:dyDescent="0.3">
      <c r="A521" s="22" t="s">
        <v>532</v>
      </c>
      <c r="B521" s="12" t="s">
        <v>1531</v>
      </c>
      <c r="C521" s="12" t="s">
        <v>2013</v>
      </c>
      <c r="D521" s="13">
        <v>45300</v>
      </c>
      <c r="E521" s="14">
        <f t="shared" si="80"/>
        <v>742956</v>
      </c>
      <c r="F521" s="12">
        <v>54464</v>
      </c>
      <c r="G521" s="12">
        <v>7449</v>
      </c>
      <c r="H521" s="15">
        <f t="shared" si="81"/>
        <v>27232</v>
      </c>
      <c r="I521" s="15">
        <f t="shared" si="82"/>
        <v>10892.800000000001</v>
      </c>
      <c r="J521" s="15">
        <f t="shared" si="83"/>
        <v>16339.199999999997</v>
      </c>
      <c r="K521" s="15">
        <f t="shared" si="84"/>
        <v>3267.8399999999997</v>
      </c>
      <c r="L521" s="12">
        <v>200</v>
      </c>
      <c r="M521" s="12">
        <f t="shared" si="85"/>
        <v>208</v>
      </c>
      <c r="N521" s="15">
        <v>1</v>
      </c>
      <c r="O521" s="15">
        <f t="shared" si="86"/>
        <v>130.92307692307693</v>
      </c>
      <c r="P521" s="15">
        <f t="shared" si="87"/>
        <v>261.84615384615387</v>
      </c>
      <c r="Q521" s="15">
        <f t="shared" si="88"/>
        <v>261.84615384615387</v>
      </c>
      <c r="R521" s="12">
        <v>59353</v>
      </c>
      <c r="S521" s="15">
        <f t="shared" si="89"/>
        <v>66802</v>
      </c>
      <c r="T521" s="20">
        <f>S521/median_percentile!$B$1</f>
        <v>1.3254759566256933</v>
      </c>
      <c r="U521" s="24" t="str" cm="1">
        <f t="array" ref="U521">_xlfn.IFS(T521&lt;1,"underpaid",T521&gt;1,"overpaid",T521=1,"median pay")</f>
        <v>overpaid</v>
      </c>
      <c r="V521" s="5"/>
    </row>
    <row r="522" spans="1:22" x14ac:dyDescent="0.3">
      <c r="A522" s="21" t="s">
        <v>533</v>
      </c>
      <c r="B522" s="8" t="s">
        <v>1532</v>
      </c>
      <c r="C522" s="8" t="s">
        <v>2016</v>
      </c>
      <c r="D522" s="9">
        <v>44958</v>
      </c>
      <c r="E522" s="10">
        <f t="shared" si="80"/>
        <v>364020</v>
      </c>
      <c r="F522" s="8">
        <v>26832</v>
      </c>
      <c r="G522" s="8">
        <v>3503</v>
      </c>
      <c r="H522" s="11">
        <f t="shared" si="81"/>
        <v>13416</v>
      </c>
      <c r="I522" s="11">
        <f t="shared" si="82"/>
        <v>5366.4000000000005</v>
      </c>
      <c r="J522" s="11">
        <f t="shared" si="83"/>
        <v>8049.5999999999985</v>
      </c>
      <c r="K522" s="11">
        <f t="shared" si="84"/>
        <v>1609.9199999999998</v>
      </c>
      <c r="L522" s="8">
        <v>200</v>
      </c>
      <c r="M522" s="8">
        <f t="shared" si="85"/>
        <v>208</v>
      </c>
      <c r="N522" s="11">
        <v>0</v>
      </c>
      <c r="O522" s="11">
        <f t="shared" si="86"/>
        <v>64.5</v>
      </c>
      <c r="P522" s="11">
        <f t="shared" si="87"/>
        <v>129</v>
      </c>
      <c r="Q522" s="11">
        <f t="shared" si="88"/>
        <v>0</v>
      </c>
      <c r="R522" s="8">
        <v>28526</v>
      </c>
      <c r="S522" s="11">
        <f t="shared" si="89"/>
        <v>32029</v>
      </c>
      <c r="T522" s="20">
        <f>S522/median_percentile!$B$1</f>
        <v>0.63551494588132584</v>
      </c>
      <c r="U522" s="24" t="str" cm="1">
        <f t="array" ref="U522">_xlfn.IFS(T522&lt;1,"underpaid",T522&gt;1,"overpaid",T522=1,"median pay")</f>
        <v>underpaid</v>
      </c>
      <c r="V522" s="5"/>
    </row>
    <row r="523" spans="1:22" x14ac:dyDescent="0.3">
      <c r="A523" s="22" t="s">
        <v>534</v>
      </c>
      <c r="B523" s="12" t="s">
        <v>1533</v>
      </c>
      <c r="C523" s="12" t="s">
        <v>2013</v>
      </c>
      <c r="D523" s="13">
        <v>43700</v>
      </c>
      <c r="E523" s="14">
        <f t="shared" si="80"/>
        <v>480096</v>
      </c>
      <c r="F523" s="12">
        <v>34468</v>
      </c>
      <c r="G523" s="12">
        <v>5540</v>
      </c>
      <c r="H523" s="15">
        <f t="shared" si="81"/>
        <v>17234</v>
      </c>
      <c r="I523" s="15">
        <f t="shared" si="82"/>
        <v>6893.6</v>
      </c>
      <c r="J523" s="15">
        <f t="shared" si="83"/>
        <v>10340.400000000001</v>
      </c>
      <c r="K523" s="15">
        <f t="shared" si="84"/>
        <v>2068.08</v>
      </c>
      <c r="L523" s="12">
        <v>200</v>
      </c>
      <c r="M523" s="12">
        <f t="shared" si="85"/>
        <v>208</v>
      </c>
      <c r="N523" s="15">
        <v>3</v>
      </c>
      <c r="O523" s="15">
        <f t="shared" si="86"/>
        <v>82.855769230769226</v>
      </c>
      <c r="P523" s="15">
        <f t="shared" si="87"/>
        <v>165.71153846153845</v>
      </c>
      <c r="Q523" s="15">
        <f t="shared" si="88"/>
        <v>497.13461538461536</v>
      </c>
      <c r="R523" s="12">
        <v>37740</v>
      </c>
      <c r="S523" s="15">
        <f t="shared" si="89"/>
        <v>43280</v>
      </c>
      <c r="T523" s="20">
        <f>S523/median_percentile!$B$1</f>
        <v>0.85875571693601993</v>
      </c>
      <c r="U523" s="24" t="str" cm="1">
        <f t="array" ref="U523">_xlfn.IFS(T523&lt;1,"underpaid",T523&gt;1,"overpaid",T523=1,"median pay")</f>
        <v>underpaid</v>
      </c>
      <c r="V523" s="5"/>
    </row>
    <row r="524" spans="1:22" x14ac:dyDescent="0.3">
      <c r="A524" s="21" t="s">
        <v>535</v>
      </c>
      <c r="B524" s="8" t="s">
        <v>1534</v>
      </c>
      <c r="C524" s="8" t="s">
        <v>2012</v>
      </c>
      <c r="D524" s="9">
        <v>44243</v>
      </c>
      <c r="E524" s="10">
        <f t="shared" si="80"/>
        <v>665568</v>
      </c>
      <c r="F524" s="8">
        <v>48031</v>
      </c>
      <c r="G524" s="8">
        <v>7433</v>
      </c>
      <c r="H524" s="11">
        <f t="shared" si="81"/>
        <v>24015.5</v>
      </c>
      <c r="I524" s="11">
        <f t="shared" si="82"/>
        <v>9606.2000000000007</v>
      </c>
      <c r="J524" s="11">
        <f t="shared" si="83"/>
        <v>14409.300000000003</v>
      </c>
      <c r="K524" s="11">
        <f t="shared" si="84"/>
        <v>2881.8599999999997</v>
      </c>
      <c r="L524" s="8">
        <v>200</v>
      </c>
      <c r="M524" s="8">
        <f t="shared" si="85"/>
        <v>208</v>
      </c>
      <c r="N524" s="11">
        <v>0</v>
      </c>
      <c r="O524" s="11">
        <f t="shared" si="86"/>
        <v>115.45913461538461</v>
      </c>
      <c r="P524" s="11">
        <f t="shared" si="87"/>
        <v>230.91826923076923</v>
      </c>
      <c r="Q524" s="11">
        <f t="shared" si="88"/>
        <v>0</v>
      </c>
      <c r="R524" s="8">
        <v>52383</v>
      </c>
      <c r="S524" s="11">
        <f t="shared" si="89"/>
        <v>59816</v>
      </c>
      <c r="T524" s="20">
        <f>S524/median_percentile!$B$1</f>
        <v>1.186860720061113</v>
      </c>
      <c r="U524" s="24" t="str" cm="1">
        <f t="array" ref="U524">_xlfn.IFS(T524&lt;1,"underpaid",T524&gt;1,"overpaid",T524=1,"median pay")</f>
        <v>overpaid</v>
      </c>
      <c r="V524" s="5"/>
    </row>
    <row r="525" spans="1:22" x14ac:dyDescent="0.3">
      <c r="A525" s="22" t="s">
        <v>536</v>
      </c>
      <c r="B525" s="12" t="s">
        <v>1535</v>
      </c>
      <c r="C525" s="12" t="s">
        <v>2011</v>
      </c>
      <c r="D525" s="13">
        <v>44694</v>
      </c>
      <c r="E525" s="14">
        <f t="shared" si="80"/>
        <v>392064</v>
      </c>
      <c r="F525" s="12">
        <v>29131</v>
      </c>
      <c r="G525" s="12">
        <v>3541</v>
      </c>
      <c r="H525" s="15">
        <f t="shared" si="81"/>
        <v>14565.5</v>
      </c>
      <c r="I525" s="15">
        <f t="shared" si="82"/>
        <v>5826.2000000000007</v>
      </c>
      <c r="J525" s="15">
        <f t="shared" si="83"/>
        <v>8739.2999999999993</v>
      </c>
      <c r="K525" s="15">
        <f t="shared" si="84"/>
        <v>1747.86</v>
      </c>
      <c r="L525" s="12">
        <v>200</v>
      </c>
      <c r="M525" s="12">
        <f t="shared" si="85"/>
        <v>208</v>
      </c>
      <c r="N525" s="15">
        <v>4</v>
      </c>
      <c r="O525" s="15">
        <f t="shared" si="86"/>
        <v>70.026442307692307</v>
      </c>
      <c r="P525" s="15">
        <f t="shared" si="87"/>
        <v>140.05288461538461</v>
      </c>
      <c r="Q525" s="15">
        <f t="shared" si="88"/>
        <v>560.21153846153845</v>
      </c>
      <c r="R525" s="12">
        <v>30967</v>
      </c>
      <c r="S525" s="15">
        <f t="shared" si="89"/>
        <v>34508</v>
      </c>
      <c r="T525" s="20">
        <f>S525/median_percentile!$B$1</f>
        <v>0.6847029177455678</v>
      </c>
      <c r="U525" s="24" t="str" cm="1">
        <f t="array" ref="U525">_xlfn.IFS(T525&lt;1,"underpaid",T525&gt;1,"overpaid",T525=1,"median pay")</f>
        <v>underpaid</v>
      </c>
      <c r="V525" s="5"/>
    </row>
    <row r="526" spans="1:22" x14ac:dyDescent="0.3">
      <c r="A526" s="21" t="s">
        <v>537</v>
      </c>
      <c r="B526" s="8" t="s">
        <v>1536</v>
      </c>
      <c r="C526" s="8" t="s">
        <v>2015</v>
      </c>
      <c r="D526" s="9">
        <v>44319</v>
      </c>
      <c r="E526" s="10">
        <f t="shared" si="80"/>
        <v>503688</v>
      </c>
      <c r="F526" s="8">
        <v>37919</v>
      </c>
      <c r="G526" s="8">
        <v>4055</v>
      </c>
      <c r="H526" s="11">
        <f t="shared" si="81"/>
        <v>18959.5</v>
      </c>
      <c r="I526" s="11">
        <f t="shared" si="82"/>
        <v>7583.8</v>
      </c>
      <c r="J526" s="11">
        <f t="shared" si="83"/>
        <v>11375.7</v>
      </c>
      <c r="K526" s="11">
        <f t="shared" si="84"/>
        <v>2275.14</v>
      </c>
      <c r="L526" s="8">
        <v>200</v>
      </c>
      <c r="M526" s="8">
        <f t="shared" si="85"/>
        <v>208</v>
      </c>
      <c r="N526" s="11">
        <v>2</v>
      </c>
      <c r="O526" s="11">
        <f t="shared" si="86"/>
        <v>91.151442307692307</v>
      </c>
      <c r="P526" s="11">
        <f t="shared" si="87"/>
        <v>182.30288461538461</v>
      </c>
      <c r="Q526" s="11">
        <f t="shared" si="88"/>
        <v>364.60576923076923</v>
      </c>
      <c r="R526" s="8">
        <v>39499</v>
      </c>
      <c r="S526" s="11">
        <f t="shared" si="89"/>
        <v>43554</v>
      </c>
      <c r="T526" s="20">
        <f>S526/median_percentile!$B$1</f>
        <v>0.864192386678175</v>
      </c>
      <c r="U526" s="24" t="str" cm="1">
        <f t="array" ref="U526">_xlfn.IFS(T526&lt;1,"underpaid",T526&gt;1,"overpaid",T526=1,"median pay")</f>
        <v>underpaid</v>
      </c>
      <c r="V526" s="5"/>
    </row>
    <row r="527" spans="1:22" x14ac:dyDescent="0.3">
      <c r="A527" s="22" t="s">
        <v>538</v>
      </c>
      <c r="B527" s="12" t="s">
        <v>1537</v>
      </c>
      <c r="C527" s="12" t="s">
        <v>2013</v>
      </c>
      <c r="D527" s="13">
        <v>45836</v>
      </c>
      <c r="E527" s="14">
        <f t="shared" si="80"/>
        <v>858540</v>
      </c>
      <c r="F527" s="12">
        <v>59998</v>
      </c>
      <c r="G527" s="12">
        <v>11547</v>
      </c>
      <c r="H527" s="15">
        <f t="shared" si="81"/>
        <v>29999</v>
      </c>
      <c r="I527" s="15">
        <f t="shared" si="82"/>
        <v>11999.6</v>
      </c>
      <c r="J527" s="15">
        <f t="shared" si="83"/>
        <v>17999.400000000001</v>
      </c>
      <c r="K527" s="15">
        <f t="shared" si="84"/>
        <v>3599.8799999999997</v>
      </c>
      <c r="L527" s="12">
        <v>200</v>
      </c>
      <c r="M527" s="12">
        <f t="shared" si="85"/>
        <v>208</v>
      </c>
      <c r="N527" s="15">
        <v>4</v>
      </c>
      <c r="O527" s="15">
        <f t="shared" si="86"/>
        <v>144.22596153846155</v>
      </c>
      <c r="P527" s="15">
        <f t="shared" si="87"/>
        <v>288.45192307692309</v>
      </c>
      <c r="Q527" s="15">
        <f t="shared" si="88"/>
        <v>1153.8076923076924</v>
      </c>
      <c r="R527" s="12">
        <v>68745</v>
      </c>
      <c r="S527" s="15">
        <f t="shared" si="89"/>
        <v>80292</v>
      </c>
      <c r="T527" s="20">
        <f>S527/median_percentile!$B$1</f>
        <v>1.5931426530551505</v>
      </c>
      <c r="U527" s="24" t="str" cm="1">
        <f t="array" ref="U527">_xlfn.IFS(T527&lt;1,"underpaid",T527&gt;1,"overpaid",T527=1,"median pay")</f>
        <v>overpaid</v>
      </c>
      <c r="V527" s="5"/>
    </row>
    <row r="528" spans="1:22" x14ac:dyDescent="0.3">
      <c r="A528" s="21" t="s">
        <v>539</v>
      </c>
      <c r="B528" s="8" t="s">
        <v>1538</v>
      </c>
      <c r="C528" s="8" t="s">
        <v>2013</v>
      </c>
      <c r="D528" s="9">
        <v>45071</v>
      </c>
      <c r="E528" s="10">
        <f t="shared" si="80"/>
        <v>696180</v>
      </c>
      <c r="F528" s="8">
        <v>49804</v>
      </c>
      <c r="G528" s="8">
        <v>8211</v>
      </c>
      <c r="H528" s="11">
        <f t="shared" si="81"/>
        <v>24902</v>
      </c>
      <c r="I528" s="11">
        <f t="shared" si="82"/>
        <v>9960.8000000000011</v>
      </c>
      <c r="J528" s="11">
        <f t="shared" si="83"/>
        <v>14941.199999999997</v>
      </c>
      <c r="K528" s="11">
        <f t="shared" si="84"/>
        <v>2988.24</v>
      </c>
      <c r="L528" s="8">
        <v>200</v>
      </c>
      <c r="M528" s="8">
        <f t="shared" si="85"/>
        <v>208</v>
      </c>
      <c r="N528" s="11">
        <v>2</v>
      </c>
      <c r="O528" s="11">
        <f t="shared" si="86"/>
        <v>119.72115384615384</v>
      </c>
      <c r="P528" s="11">
        <f t="shared" si="87"/>
        <v>239.44230769230768</v>
      </c>
      <c r="Q528" s="11">
        <f t="shared" si="88"/>
        <v>478.88461538461536</v>
      </c>
      <c r="R528" s="8">
        <v>54827</v>
      </c>
      <c r="S528" s="11">
        <f t="shared" si="89"/>
        <v>63038</v>
      </c>
      <c r="T528" s="20">
        <f>S528/median_percentile!$B$1</f>
        <v>1.2507911941823666</v>
      </c>
      <c r="U528" s="24" t="str" cm="1">
        <f t="array" ref="U528">_xlfn.IFS(T528&lt;1,"underpaid",T528&gt;1,"overpaid",T528=1,"median pay")</f>
        <v>overpaid</v>
      </c>
      <c r="V528" s="5"/>
    </row>
    <row r="529" spans="1:22" x14ac:dyDescent="0.3">
      <c r="A529" s="22" t="s">
        <v>540</v>
      </c>
      <c r="B529" s="12" t="s">
        <v>1539</v>
      </c>
      <c r="C529" s="12" t="s">
        <v>2012</v>
      </c>
      <c r="D529" s="13">
        <v>43879</v>
      </c>
      <c r="E529" s="14">
        <f t="shared" si="80"/>
        <v>375276</v>
      </c>
      <c r="F529" s="12">
        <v>27503</v>
      </c>
      <c r="G529" s="12">
        <v>3770</v>
      </c>
      <c r="H529" s="15">
        <f t="shared" si="81"/>
        <v>13751.5</v>
      </c>
      <c r="I529" s="15">
        <f t="shared" si="82"/>
        <v>5500.6</v>
      </c>
      <c r="J529" s="15">
        <f t="shared" si="83"/>
        <v>8250.9000000000015</v>
      </c>
      <c r="K529" s="15">
        <f t="shared" si="84"/>
        <v>1650.1799999999998</v>
      </c>
      <c r="L529" s="12">
        <v>200</v>
      </c>
      <c r="M529" s="12">
        <f t="shared" si="85"/>
        <v>208</v>
      </c>
      <c r="N529" s="15">
        <v>4</v>
      </c>
      <c r="O529" s="15">
        <f t="shared" si="86"/>
        <v>66.112980769230774</v>
      </c>
      <c r="P529" s="15">
        <f t="shared" si="87"/>
        <v>132.22596153846155</v>
      </c>
      <c r="Q529" s="15">
        <f t="shared" si="88"/>
        <v>528.90384615384619</v>
      </c>
      <c r="R529" s="12">
        <v>29881</v>
      </c>
      <c r="S529" s="15">
        <f t="shared" si="89"/>
        <v>33651</v>
      </c>
      <c r="T529" s="20">
        <f>S529/median_percentile!$B$1</f>
        <v>0.66769844340605378</v>
      </c>
      <c r="U529" s="24" t="str" cm="1">
        <f t="array" ref="U529">_xlfn.IFS(T529&lt;1,"underpaid",T529&gt;1,"overpaid",T529=1,"median pay")</f>
        <v>underpaid</v>
      </c>
      <c r="V529" s="5"/>
    </row>
    <row r="530" spans="1:22" x14ac:dyDescent="0.3">
      <c r="A530" s="21" t="s">
        <v>541</v>
      </c>
      <c r="B530" s="8" t="s">
        <v>1540</v>
      </c>
      <c r="C530" s="8" t="s">
        <v>2015</v>
      </c>
      <c r="D530" s="9">
        <v>44559</v>
      </c>
      <c r="E530" s="10">
        <f t="shared" si="80"/>
        <v>588564</v>
      </c>
      <c r="F530" s="8">
        <v>41799</v>
      </c>
      <c r="G530" s="8">
        <v>7248</v>
      </c>
      <c r="H530" s="11">
        <f t="shared" si="81"/>
        <v>20899.5</v>
      </c>
      <c r="I530" s="11">
        <f t="shared" si="82"/>
        <v>8359.8000000000011</v>
      </c>
      <c r="J530" s="11">
        <f t="shared" si="83"/>
        <v>12539.699999999997</v>
      </c>
      <c r="K530" s="11">
        <f t="shared" si="84"/>
        <v>2507.94</v>
      </c>
      <c r="L530" s="8">
        <v>200</v>
      </c>
      <c r="M530" s="8">
        <f t="shared" si="85"/>
        <v>208</v>
      </c>
      <c r="N530" s="11">
        <v>2</v>
      </c>
      <c r="O530" s="11">
        <f t="shared" si="86"/>
        <v>100.47836538461539</v>
      </c>
      <c r="P530" s="11">
        <f t="shared" si="87"/>
        <v>200.95673076923077</v>
      </c>
      <c r="Q530" s="11">
        <f t="shared" si="88"/>
        <v>401.91346153846155</v>
      </c>
      <c r="R530" s="8">
        <v>46340</v>
      </c>
      <c r="S530" s="11">
        <f t="shared" si="89"/>
        <v>53588</v>
      </c>
      <c r="T530" s="20">
        <f>S530/median_percentile!$B$1</f>
        <v>1.0632856136591367</v>
      </c>
      <c r="U530" s="24" t="str" cm="1">
        <f t="array" ref="U530">_xlfn.IFS(T530&lt;1,"underpaid",T530&gt;1,"overpaid",T530=1,"median pay")</f>
        <v>overpaid</v>
      </c>
      <c r="V530" s="5"/>
    </row>
    <row r="531" spans="1:22" x14ac:dyDescent="0.3">
      <c r="A531" s="22" t="s">
        <v>542</v>
      </c>
      <c r="B531" s="12" t="s">
        <v>1541</v>
      </c>
      <c r="C531" s="12" t="s">
        <v>2013</v>
      </c>
      <c r="D531" s="13">
        <v>45728</v>
      </c>
      <c r="E531" s="14">
        <f t="shared" si="80"/>
        <v>604944</v>
      </c>
      <c r="F531" s="12">
        <v>43072</v>
      </c>
      <c r="G531" s="12">
        <v>7340</v>
      </c>
      <c r="H531" s="15">
        <f t="shared" si="81"/>
        <v>21536</v>
      </c>
      <c r="I531" s="15">
        <f t="shared" si="82"/>
        <v>8614.4</v>
      </c>
      <c r="J531" s="15">
        <f t="shared" si="83"/>
        <v>12921.599999999999</v>
      </c>
      <c r="K531" s="15">
        <f t="shared" si="84"/>
        <v>2584.3199999999997</v>
      </c>
      <c r="L531" s="12">
        <v>200</v>
      </c>
      <c r="M531" s="12">
        <f t="shared" si="85"/>
        <v>208</v>
      </c>
      <c r="N531" s="15">
        <v>3</v>
      </c>
      <c r="O531" s="15">
        <f t="shared" si="86"/>
        <v>103.53846153846153</v>
      </c>
      <c r="P531" s="15">
        <f t="shared" si="87"/>
        <v>207.07692307692307</v>
      </c>
      <c r="Q531" s="15">
        <f t="shared" si="88"/>
        <v>621.23076923076917</v>
      </c>
      <c r="R531" s="12">
        <v>47986</v>
      </c>
      <c r="S531" s="15">
        <f t="shared" si="89"/>
        <v>55326</v>
      </c>
      <c r="T531" s="20">
        <f>S531/median_percentile!$B$1</f>
        <v>1.0977707669871126</v>
      </c>
      <c r="U531" s="24" t="str" cm="1">
        <f t="array" ref="U531">_xlfn.IFS(T531&lt;1,"underpaid",T531&gt;1,"overpaid",T531=1,"median pay")</f>
        <v>overpaid</v>
      </c>
      <c r="V531" s="5"/>
    </row>
    <row r="532" spans="1:22" x14ac:dyDescent="0.3">
      <c r="A532" s="21" t="s">
        <v>543</v>
      </c>
      <c r="B532" s="8" t="s">
        <v>1542</v>
      </c>
      <c r="C532" s="8" t="s">
        <v>2016</v>
      </c>
      <c r="D532" s="9">
        <v>44195</v>
      </c>
      <c r="E532" s="10">
        <f t="shared" si="80"/>
        <v>387564</v>
      </c>
      <c r="F532" s="8">
        <v>28950</v>
      </c>
      <c r="G532" s="8">
        <v>3347</v>
      </c>
      <c r="H532" s="11">
        <f t="shared" si="81"/>
        <v>14475</v>
      </c>
      <c r="I532" s="11">
        <f t="shared" si="82"/>
        <v>5790</v>
      </c>
      <c r="J532" s="11">
        <f t="shared" si="83"/>
        <v>8685</v>
      </c>
      <c r="K532" s="11">
        <f t="shared" si="84"/>
        <v>1737</v>
      </c>
      <c r="L532" s="8">
        <v>200</v>
      </c>
      <c r="M532" s="8">
        <f t="shared" si="85"/>
        <v>208</v>
      </c>
      <c r="N532" s="11">
        <v>4</v>
      </c>
      <c r="O532" s="11">
        <f t="shared" si="86"/>
        <v>69.59134615384616</v>
      </c>
      <c r="P532" s="11">
        <f t="shared" si="87"/>
        <v>139.18269230769232</v>
      </c>
      <c r="Q532" s="11">
        <f t="shared" si="88"/>
        <v>556.73076923076928</v>
      </c>
      <c r="R532" s="8">
        <v>30601</v>
      </c>
      <c r="S532" s="11">
        <f t="shared" si="89"/>
        <v>33948</v>
      </c>
      <c r="T532" s="20">
        <f>S532/median_percentile!$B$1</f>
        <v>0.67359147593678381</v>
      </c>
      <c r="U532" s="24" t="str" cm="1">
        <f t="array" ref="U532">_xlfn.IFS(T532&lt;1,"underpaid",T532&gt;1,"overpaid",T532=1,"median pay")</f>
        <v>underpaid</v>
      </c>
      <c r="V532" s="5"/>
    </row>
    <row r="533" spans="1:22" x14ac:dyDescent="0.3">
      <c r="A533" s="22" t="s">
        <v>544</v>
      </c>
      <c r="B533" s="12" t="s">
        <v>1543</v>
      </c>
      <c r="C533" s="12" t="s">
        <v>2011</v>
      </c>
      <c r="D533" s="13">
        <v>45189</v>
      </c>
      <c r="E533" s="14">
        <f t="shared" si="80"/>
        <v>560172</v>
      </c>
      <c r="F533" s="12">
        <v>41593</v>
      </c>
      <c r="G533" s="12">
        <v>5088</v>
      </c>
      <c r="H533" s="15">
        <f t="shared" si="81"/>
        <v>20796.5</v>
      </c>
      <c r="I533" s="15">
        <f t="shared" si="82"/>
        <v>8318.6</v>
      </c>
      <c r="J533" s="15">
        <f t="shared" si="83"/>
        <v>12477.900000000001</v>
      </c>
      <c r="K533" s="15">
        <f t="shared" si="84"/>
        <v>2495.58</v>
      </c>
      <c r="L533" s="12">
        <v>200</v>
      </c>
      <c r="M533" s="12">
        <f t="shared" si="85"/>
        <v>208</v>
      </c>
      <c r="N533" s="15">
        <v>1</v>
      </c>
      <c r="O533" s="15">
        <f t="shared" si="86"/>
        <v>99.98317307692308</v>
      </c>
      <c r="P533" s="15">
        <f t="shared" si="87"/>
        <v>199.96634615384616</v>
      </c>
      <c r="Q533" s="15">
        <f t="shared" si="88"/>
        <v>199.96634615384616</v>
      </c>
      <c r="R533" s="12">
        <v>43986</v>
      </c>
      <c r="S533" s="15">
        <f t="shared" si="89"/>
        <v>49074</v>
      </c>
      <c r="T533" s="20">
        <f>S533/median_percentile!$B$1</f>
        <v>0.97371945593618858</v>
      </c>
      <c r="U533" s="24" t="str" cm="1">
        <f t="array" ref="U533">_xlfn.IFS(T533&lt;1,"underpaid",T533&gt;1,"overpaid",T533=1,"median pay")</f>
        <v>underpaid</v>
      </c>
      <c r="V533" s="5"/>
    </row>
    <row r="534" spans="1:22" x14ac:dyDescent="0.3">
      <c r="A534" s="21" t="s">
        <v>545</v>
      </c>
      <c r="B534" s="8" t="s">
        <v>1544</v>
      </c>
      <c r="C534" s="8" t="s">
        <v>2014</v>
      </c>
      <c r="D534" s="9">
        <v>44365</v>
      </c>
      <c r="E534" s="10">
        <f t="shared" si="80"/>
        <v>1048692</v>
      </c>
      <c r="F534" s="8">
        <v>78870</v>
      </c>
      <c r="G534" s="8">
        <v>8521</v>
      </c>
      <c r="H534" s="11">
        <f t="shared" si="81"/>
        <v>39435</v>
      </c>
      <c r="I534" s="11">
        <f t="shared" si="82"/>
        <v>15774</v>
      </c>
      <c r="J534" s="11">
        <f t="shared" si="83"/>
        <v>23661</v>
      </c>
      <c r="K534" s="11">
        <f t="shared" si="84"/>
        <v>4732.2</v>
      </c>
      <c r="L534" s="8">
        <v>200</v>
      </c>
      <c r="M534" s="8">
        <f t="shared" si="85"/>
        <v>208</v>
      </c>
      <c r="N534" s="11">
        <v>5</v>
      </c>
      <c r="O534" s="11">
        <f t="shared" si="86"/>
        <v>189.59134615384616</v>
      </c>
      <c r="P534" s="11">
        <f t="shared" si="87"/>
        <v>379.18269230769232</v>
      </c>
      <c r="Q534" s="11">
        <f t="shared" si="88"/>
        <v>1895.9134615384617</v>
      </c>
      <c r="R534" s="8">
        <v>82459</v>
      </c>
      <c r="S534" s="11">
        <f t="shared" si="89"/>
        <v>90980</v>
      </c>
      <c r="T534" s="20">
        <f>S534/median_percentile!$B$1</f>
        <v>1.8052124567199421</v>
      </c>
      <c r="U534" s="24" t="str" cm="1">
        <f t="array" ref="U534">_xlfn.IFS(T534&lt;1,"underpaid",T534&gt;1,"overpaid",T534=1,"median pay")</f>
        <v>overpaid</v>
      </c>
      <c r="V534" s="5"/>
    </row>
    <row r="535" spans="1:22" x14ac:dyDescent="0.3">
      <c r="A535" s="22" t="s">
        <v>546</v>
      </c>
      <c r="B535" s="12" t="s">
        <v>1545</v>
      </c>
      <c r="C535" s="12" t="s">
        <v>2012</v>
      </c>
      <c r="D535" s="13">
        <v>44839</v>
      </c>
      <c r="E535" s="14">
        <f t="shared" si="80"/>
        <v>528084</v>
      </c>
      <c r="F535" s="12">
        <v>37412</v>
      </c>
      <c r="G535" s="12">
        <v>6595</v>
      </c>
      <c r="H535" s="15">
        <f t="shared" si="81"/>
        <v>18706</v>
      </c>
      <c r="I535" s="15">
        <f t="shared" si="82"/>
        <v>7482.4000000000005</v>
      </c>
      <c r="J535" s="15">
        <f t="shared" si="83"/>
        <v>11223.599999999999</v>
      </c>
      <c r="K535" s="15">
        <f t="shared" si="84"/>
        <v>2244.7199999999998</v>
      </c>
      <c r="L535" s="12">
        <v>200</v>
      </c>
      <c r="M535" s="12">
        <f t="shared" si="85"/>
        <v>208</v>
      </c>
      <c r="N535" s="15">
        <v>0</v>
      </c>
      <c r="O535" s="15">
        <f t="shared" si="86"/>
        <v>89.932692307692307</v>
      </c>
      <c r="P535" s="15">
        <f t="shared" si="87"/>
        <v>179.86538461538461</v>
      </c>
      <c r="Q535" s="15">
        <f t="shared" si="88"/>
        <v>0</v>
      </c>
      <c r="R535" s="12">
        <v>41874</v>
      </c>
      <c r="S535" s="15">
        <f t="shared" si="89"/>
        <v>48469</v>
      </c>
      <c r="T535" s="20">
        <f>S535/median_percentile!$B$1</f>
        <v>0.96171513041062728</v>
      </c>
      <c r="U535" s="24" t="str" cm="1">
        <f t="array" ref="U535">_xlfn.IFS(T535&lt;1,"underpaid",T535&gt;1,"overpaid",T535=1,"median pay")</f>
        <v>underpaid</v>
      </c>
      <c r="V535" s="5"/>
    </row>
    <row r="536" spans="1:22" x14ac:dyDescent="0.3">
      <c r="A536" s="21" t="s">
        <v>547</v>
      </c>
      <c r="B536" s="8" t="s">
        <v>1546</v>
      </c>
      <c r="C536" s="8" t="s">
        <v>2015</v>
      </c>
      <c r="D536" s="9">
        <v>43671</v>
      </c>
      <c r="E536" s="10">
        <f t="shared" si="80"/>
        <v>589860</v>
      </c>
      <c r="F536" s="8">
        <v>43769</v>
      </c>
      <c r="G536" s="8">
        <v>5386</v>
      </c>
      <c r="H536" s="11">
        <f t="shared" si="81"/>
        <v>21884.5</v>
      </c>
      <c r="I536" s="11">
        <f t="shared" si="82"/>
        <v>8753.8000000000011</v>
      </c>
      <c r="J536" s="11">
        <f t="shared" si="83"/>
        <v>13130.699999999997</v>
      </c>
      <c r="K536" s="11">
        <f t="shared" si="84"/>
        <v>2626.14</v>
      </c>
      <c r="L536" s="8">
        <v>200</v>
      </c>
      <c r="M536" s="8">
        <f t="shared" si="85"/>
        <v>208</v>
      </c>
      <c r="N536" s="11">
        <v>4</v>
      </c>
      <c r="O536" s="11">
        <f t="shared" si="86"/>
        <v>105.21394230769231</v>
      </c>
      <c r="P536" s="11">
        <f t="shared" si="87"/>
        <v>210.42788461538461</v>
      </c>
      <c r="Q536" s="11">
        <f t="shared" si="88"/>
        <v>841.71153846153845</v>
      </c>
      <c r="R536" s="8">
        <v>46329</v>
      </c>
      <c r="S536" s="11">
        <f t="shared" si="89"/>
        <v>51715</v>
      </c>
      <c r="T536" s="20">
        <f>S536/median_percentile!$B$1</f>
        <v>1.0261218091808288</v>
      </c>
      <c r="U536" s="24" t="str" cm="1">
        <f t="array" ref="U536">_xlfn.IFS(T536&lt;1,"underpaid",T536&gt;1,"overpaid",T536=1,"median pay")</f>
        <v>overpaid</v>
      </c>
      <c r="V536" s="5"/>
    </row>
    <row r="537" spans="1:22" x14ac:dyDescent="0.3">
      <c r="A537" s="22" t="s">
        <v>548</v>
      </c>
      <c r="B537" s="12" t="s">
        <v>1547</v>
      </c>
      <c r="C537" s="12" t="s">
        <v>2016</v>
      </c>
      <c r="D537" s="13">
        <v>44037</v>
      </c>
      <c r="E537" s="14">
        <f t="shared" si="80"/>
        <v>442296</v>
      </c>
      <c r="F537" s="12">
        <v>31515</v>
      </c>
      <c r="G537" s="12">
        <v>5343</v>
      </c>
      <c r="H537" s="15">
        <f t="shared" si="81"/>
        <v>15757.5</v>
      </c>
      <c r="I537" s="15">
        <f t="shared" si="82"/>
        <v>6303</v>
      </c>
      <c r="J537" s="15">
        <f t="shared" si="83"/>
        <v>9454.5</v>
      </c>
      <c r="K537" s="15">
        <f t="shared" si="84"/>
        <v>1890.8999999999999</v>
      </c>
      <c r="L537" s="12">
        <v>200</v>
      </c>
      <c r="M537" s="12">
        <f t="shared" si="85"/>
        <v>208</v>
      </c>
      <c r="N537" s="15">
        <v>5</v>
      </c>
      <c r="O537" s="15">
        <f t="shared" si="86"/>
        <v>75.757211538461533</v>
      </c>
      <c r="P537" s="15">
        <f t="shared" si="87"/>
        <v>151.51442307692307</v>
      </c>
      <c r="Q537" s="15">
        <f t="shared" si="88"/>
        <v>757.57211538461536</v>
      </c>
      <c r="R537" s="12">
        <v>35030</v>
      </c>
      <c r="S537" s="15">
        <f t="shared" si="89"/>
        <v>40373</v>
      </c>
      <c r="T537" s="20">
        <f>S537/median_percentile!$B$1</f>
        <v>0.80107542883220728</v>
      </c>
      <c r="U537" s="24" t="str" cm="1">
        <f t="array" ref="U537">_xlfn.IFS(T537&lt;1,"underpaid",T537&gt;1,"overpaid",T537=1,"median pay")</f>
        <v>underpaid</v>
      </c>
      <c r="V537" s="5"/>
    </row>
    <row r="538" spans="1:22" x14ac:dyDescent="0.3">
      <c r="A538" s="21" t="s">
        <v>549</v>
      </c>
      <c r="B538" s="8" t="s">
        <v>1548</v>
      </c>
      <c r="C538" s="8" t="s">
        <v>2015</v>
      </c>
      <c r="D538" s="9">
        <v>45999</v>
      </c>
      <c r="E538" s="10">
        <f t="shared" si="80"/>
        <v>470916</v>
      </c>
      <c r="F538" s="8">
        <v>35000</v>
      </c>
      <c r="G538" s="8">
        <v>4243</v>
      </c>
      <c r="H538" s="11">
        <f t="shared" si="81"/>
        <v>17500</v>
      </c>
      <c r="I538" s="11">
        <f t="shared" si="82"/>
        <v>7000</v>
      </c>
      <c r="J538" s="11">
        <f t="shared" si="83"/>
        <v>10500</v>
      </c>
      <c r="K538" s="11">
        <f t="shared" si="84"/>
        <v>2100</v>
      </c>
      <c r="L538" s="8">
        <v>200</v>
      </c>
      <c r="M538" s="8">
        <f t="shared" si="85"/>
        <v>208</v>
      </c>
      <c r="N538" s="11">
        <v>5</v>
      </c>
      <c r="O538" s="11">
        <f t="shared" si="86"/>
        <v>84.134615384615387</v>
      </c>
      <c r="P538" s="11">
        <f t="shared" si="87"/>
        <v>168.26923076923077</v>
      </c>
      <c r="Q538" s="11">
        <f t="shared" si="88"/>
        <v>841.34615384615381</v>
      </c>
      <c r="R538" s="8">
        <v>37526</v>
      </c>
      <c r="S538" s="11">
        <f t="shared" si="89"/>
        <v>41769</v>
      </c>
      <c r="T538" s="20">
        <f>S538/median_percentile!$B$1</f>
        <v>0.82877466591267601</v>
      </c>
      <c r="U538" s="24" t="str" cm="1">
        <f t="array" ref="U538">_xlfn.IFS(T538&lt;1,"underpaid",T538&gt;1,"overpaid",T538=1,"median pay")</f>
        <v>underpaid</v>
      </c>
      <c r="V538" s="5"/>
    </row>
    <row r="539" spans="1:22" x14ac:dyDescent="0.3">
      <c r="A539" s="22" t="s">
        <v>550</v>
      </c>
      <c r="B539" s="12" t="s">
        <v>1549</v>
      </c>
      <c r="C539" s="12" t="s">
        <v>2013</v>
      </c>
      <c r="D539" s="13">
        <v>45790</v>
      </c>
      <c r="E539" s="14">
        <f t="shared" si="80"/>
        <v>854424</v>
      </c>
      <c r="F539" s="12">
        <v>64180</v>
      </c>
      <c r="G539" s="12">
        <v>7022</v>
      </c>
      <c r="H539" s="15">
        <f t="shared" si="81"/>
        <v>32090</v>
      </c>
      <c r="I539" s="15">
        <f t="shared" si="82"/>
        <v>12836</v>
      </c>
      <c r="J539" s="15">
        <f t="shared" si="83"/>
        <v>19254</v>
      </c>
      <c r="K539" s="15">
        <f t="shared" si="84"/>
        <v>3850.7999999999997</v>
      </c>
      <c r="L539" s="12">
        <v>200</v>
      </c>
      <c r="M539" s="12">
        <f t="shared" si="85"/>
        <v>208</v>
      </c>
      <c r="N539" s="15">
        <v>4</v>
      </c>
      <c r="O539" s="15">
        <f t="shared" si="86"/>
        <v>154.27884615384616</v>
      </c>
      <c r="P539" s="15">
        <f t="shared" si="87"/>
        <v>308.55769230769232</v>
      </c>
      <c r="Q539" s="15">
        <f t="shared" si="88"/>
        <v>1234.2307692307693</v>
      </c>
      <c r="R539" s="12">
        <v>67686</v>
      </c>
      <c r="S539" s="15">
        <f t="shared" si="89"/>
        <v>74708</v>
      </c>
      <c r="T539" s="20">
        <f>S539/median_percentile!$B$1</f>
        <v>1.4823457047332758</v>
      </c>
      <c r="U539" s="24" t="str" cm="1">
        <f t="array" ref="U539">_xlfn.IFS(T539&lt;1,"underpaid",T539&gt;1,"overpaid",T539=1,"median pay")</f>
        <v>overpaid</v>
      </c>
      <c r="V539" s="5"/>
    </row>
    <row r="540" spans="1:22" x14ac:dyDescent="0.3">
      <c r="A540" s="21" t="s">
        <v>551</v>
      </c>
      <c r="B540" s="8" t="s">
        <v>1550</v>
      </c>
      <c r="C540" s="8" t="s">
        <v>2012</v>
      </c>
      <c r="D540" s="9">
        <v>45015</v>
      </c>
      <c r="E540" s="10">
        <f t="shared" si="80"/>
        <v>419244</v>
      </c>
      <c r="F540" s="8">
        <v>29542</v>
      </c>
      <c r="G540" s="8">
        <v>5395</v>
      </c>
      <c r="H540" s="11">
        <f t="shared" si="81"/>
        <v>14771</v>
      </c>
      <c r="I540" s="11">
        <f t="shared" si="82"/>
        <v>5908.4000000000005</v>
      </c>
      <c r="J540" s="11">
        <f t="shared" si="83"/>
        <v>8862.5999999999985</v>
      </c>
      <c r="K540" s="11">
        <f t="shared" si="84"/>
        <v>1772.52</v>
      </c>
      <c r="L540" s="8">
        <v>200</v>
      </c>
      <c r="M540" s="8">
        <f t="shared" si="85"/>
        <v>208</v>
      </c>
      <c r="N540" s="11">
        <v>3</v>
      </c>
      <c r="O540" s="11">
        <f t="shared" si="86"/>
        <v>71.01442307692308</v>
      </c>
      <c r="P540" s="11">
        <f t="shared" si="87"/>
        <v>142.02884615384616</v>
      </c>
      <c r="Q540" s="11">
        <f t="shared" si="88"/>
        <v>426.08653846153845</v>
      </c>
      <c r="R540" s="8">
        <v>32965</v>
      </c>
      <c r="S540" s="11">
        <f t="shared" si="89"/>
        <v>38360</v>
      </c>
      <c r="T540" s="20">
        <f>S540/median_percentile!$B$1</f>
        <v>0.7611337639017034</v>
      </c>
      <c r="U540" s="24" t="str" cm="1">
        <f t="array" ref="U540">_xlfn.IFS(T540&lt;1,"underpaid",T540&gt;1,"overpaid",T540=1,"median pay")</f>
        <v>underpaid</v>
      </c>
      <c r="V540" s="5"/>
    </row>
    <row r="541" spans="1:22" x14ac:dyDescent="0.3">
      <c r="A541" s="22" t="s">
        <v>552</v>
      </c>
      <c r="B541" s="12" t="s">
        <v>1551</v>
      </c>
      <c r="C541" s="12" t="s">
        <v>2012</v>
      </c>
      <c r="D541" s="13">
        <v>44654</v>
      </c>
      <c r="E541" s="14">
        <f t="shared" si="80"/>
        <v>524760</v>
      </c>
      <c r="F541" s="12">
        <v>37074</v>
      </c>
      <c r="G541" s="12">
        <v>6656</v>
      </c>
      <c r="H541" s="15">
        <f t="shared" si="81"/>
        <v>18537</v>
      </c>
      <c r="I541" s="15">
        <f t="shared" si="82"/>
        <v>7414.8</v>
      </c>
      <c r="J541" s="15">
        <f t="shared" si="83"/>
        <v>11122.2</v>
      </c>
      <c r="K541" s="15">
        <f t="shared" si="84"/>
        <v>2224.44</v>
      </c>
      <c r="L541" s="12">
        <v>200</v>
      </c>
      <c r="M541" s="12">
        <f t="shared" si="85"/>
        <v>208</v>
      </c>
      <c r="N541" s="15">
        <v>0</v>
      </c>
      <c r="O541" s="15">
        <f t="shared" si="86"/>
        <v>89.120192307692307</v>
      </c>
      <c r="P541" s="15">
        <f t="shared" si="87"/>
        <v>178.24038461538461</v>
      </c>
      <c r="Q541" s="15">
        <f t="shared" si="88"/>
        <v>0</v>
      </c>
      <c r="R541" s="12">
        <v>41923</v>
      </c>
      <c r="S541" s="15">
        <f t="shared" si="89"/>
        <v>48579</v>
      </c>
      <c r="T541" s="20">
        <f>S541/median_percentile!$B$1</f>
        <v>0.96389773505163845</v>
      </c>
      <c r="U541" s="24" t="str" cm="1">
        <f t="array" ref="U541">_xlfn.IFS(T541&lt;1,"underpaid",T541&gt;1,"overpaid",T541=1,"median pay")</f>
        <v>underpaid</v>
      </c>
      <c r="V541" s="5"/>
    </row>
    <row r="542" spans="1:22" x14ac:dyDescent="0.3">
      <c r="A542" s="21" t="s">
        <v>553</v>
      </c>
      <c r="B542" s="8" t="s">
        <v>1552</v>
      </c>
      <c r="C542" s="8" t="s">
        <v>2016</v>
      </c>
      <c r="D542" s="9">
        <v>44835</v>
      </c>
      <c r="E542" s="10">
        <f t="shared" si="80"/>
        <v>509916</v>
      </c>
      <c r="F542" s="8">
        <v>36821</v>
      </c>
      <c r="G542" s="8">
        <v>5672</v>
      </c>
      <c r="H542" s="11">
        <f t="shared" si="81"/>
        <v>18410.5</v>
      </c>
      <c r="I542" s="11">
        <f t="shared" si="82"/>
        <v>7364.2000000000007</v>
      </c>
      <c r="J542" s="11">
        <f t="shared" si="83"/>
        <v>11046.3</v>
      </c>
      <c r="K542" s="11">
        <f t="shared" si="84"/>
        <v>2209.2599999999998</v>
      </c>
      <c r="L542" s="8">
        <v>200</v>
      </c>
      <c r="M542" s="8">
        <f t="shared" si="85"/>
        <v>208</v>
      </c>
      <c r="N542" s="11">
        <v>1</v>
      </c>
      <c r="O542" s="11">
        <f t="shared" si="86"/>
        <v>88.512019230769226</v>
      </c>
      <c r="P542" s="11">
        <f t="shared" si="87"/>
        <v>177.02403846153845</v>
      </c>
      <c r="Q542" s="11">
        <f t="shared" si="88"/>
        <v>177.02403846153845</v>
      </c>
      <c r="R542" s="8">
        <v>40084</v>
      </c>
      <c r="S542" s="11">
        <f t="shared" si="89"/>
        <v>45756</v>
      </c>
      <c r="T542" s="20">
        <f>S542/median_percentile!$B$1</f>
        <v>0.90788416321914345</v>
      </c>
      <c r="U542" s="24" t="str" cm="1">
        <f t="array" ref="U542">_xlfn.IFS(T542&lt;1,"underpaid",T542&gt;1,"overpaid",T542=1,"median pay")</f>
        <v>underpaid</v>
      </c>
      <c r="V542" s="5"/>
    </row>
    <row r="543" spans="1:22" x14ac:dyDescent="0.3">
      <c r="A543" s="22" t="s">
        <v>554</v>
      </c>
      <c r="B543" s="12" t="s">
        <v>1553</v>
      </c>
      <c r="C543" s="12" t="s">
        <v>2014</v>
      </c>
      <c r="D543" s="13">
        <v>45421</v>
      </c>
      <c r="E543" s="14">
        <f t="shared" si="80"/>
        <v>999276</v>
      </c>
      <c r="F543" s="12">
        <v>74813</v>
      </c>
      <c r="G543" s="12">
        <v>8460</v>
      </c>
      <c r="H543" s="15">
        <f t="shared" si="81"/>
        <v>37406.5</v>
      </c>
      <c r="I543" s="15">
        <f t="shared" si="82"/>
        <v>14962.6</v>
      </c>
      <c r="J543" s="15">
        <f t="shared" si="83"/>
        <v>22443.9</v>
      </c>
      <c r="K543" s="15">
        <f t="shared" si="84"/>
        <v>4488.78</v>
      </c>
      <c r="L543" s="12">
        <v>200</v>
      </c>
      <c r="M543" s="12">
        <f t="shared" si="85"/>
        <v>208</v>
      </c>
      <c r="N543" s="15">
        <v>1</v>
      </c>
      <c r="O543" s="15">
        <f t="shared" si="86"/>
        <v>179.83894230769232</v>
      </c>
      <c r="P543" s="15">
        <f t="shared" si="87"/>
        <v>359.67788461538464</v>
      </c>
      <c r="Q543" s="15">
        <f t="shared" si="88"/>
        <v>359.67788461538464</v>
      </c>
      <c r="R543" s="12">
        <v>79831</v>
      </c>
      <c r="S543" s="15">
        <f t="shared" si="89"/>
        <v>88291</v>
      </c>
      <c r="T543" s="20">
        <f>S543/median_percentile!$B$1</f>
        <v>1.751857694177406</v>
      </c>
      <c r="U543" s="24" t="str" cm="1">
        <f t="array" ref="U543">_xlfn.IFS(T543&lt;1,"underpaid",T543&gt;1,"overpaid",T543=1,"median pay")</f>
        <v>overpaid</v>
      </c>
      <c r="V543" s="5"/>
    </row>
    <row r="544" spans="1:22" x14ac:dyDescent="0.3">
      <c r="A544" s="21" t="s">
        <v>555</v>
      </c>
      <c r="B544" s="8" t="s">
        <v>1554</v>
      </c>
      <c r="C544" s="8" t="s">
        <v>2012</v>
      </c>
      <c r="D544" s="9">
        <v>45420</v>
      </c>
      <c r="E544" s="10">
        <f t="shared" si="80"/>
        <v>690900</v>
      </c>
      <c r="F544" s="8">
        <v>49353</v>
      </c>
      <c r="G544" s="8">
        <v>8222</v>
      </c>
      <c r="H544" s="11">
        <f t="shared" si="81"/>
        <v>24676.5</v>
      </c>
      <c r="I544" s="11">
        <f t="shared" si="82"/>
        <v>9870.6</v>
      </c>
      <c r="J544" s="11">
        <f t="shared" si="83"/>
        <v>14805.900000000001</v>
      </c>
      <c r="K544" s="11">
        <f t="shared" si="84"/>
        <v>2961.18</v>
      </c>
      <c r="L544" s="8">
        <v>200</v>
      </c>
      <c r="M544" s="8">
        <f t="shared" si="85"/>
        <v>208</v>
      </c>
      <c r="N544" s="11">
        <v>0</v>
      </c>
      <c r="O544" s="11">
        <f t="shared" si="86"/>
        <v>118.63701923076923</v>
      </c>
      <c r="P544" s="11">
        <f t="shared" si="87"/>
        <v>237.27403846153845</v>
      </c>
      <c r="Q544" s="11">
        <f t="shared" si="88"/>
        <v>0</v>
      </c>
      <c r="R544" s="8">
        <v>54414</v>
      </c>
      <c r="S544" s="11">
        <f t="shared" si="89"/>
        <v>62636</v>
      </c>
      <c r="T544" s="20">
        <f>S544/median_percentile!$B$1</f>
        <v>1.2428147663124895</v>
      </c>
      <c r="U544" s="24" t="str" cm="1">
        <f t="array" ref="U544">_xlfn.IFS(T544&lt;1,"underpaid",T544&gt;1,"overpaid",T544=1,"median pay")</f>
        <v>overpaid</v>
      </c>
      <c r="V544" s="5"/>
    </row>
    <row r="545" spans="1:22" x14ac:dyDescent="0.3">
      <c r="A545" s="22" t="s">
        <v>556</v>
      </c>
      <c r="B545" s="12" t="s">
        <v>1555</v>
      </c>
      <c r="C545" s="12" t="s">
        <v>2011</v>
      </c>
      <c r="D545" s="13">
        <v>44739</v>
      </c>
      <c r="E545" s="14">
        <f t="shared" si="80"/>
        <v>550548</v>
      </c>
      <c r="F545" s="12">
        <v>40215</v>
      </c>
      <c r="G545" s="12">
        <v>5664</v>
      </c>
      <c r="H545" s="15">
        <f t="shared" si="81"/>
        <v>20107.5</v>
      </c>
      <c r="I545" s="15">
        <f t="shared" si="82"/>
        <v>8043</v>
      </c>
      <c r="J545" s="15">
        <f t="shared" si="83"/>
        <v>12064.5</v>
      </c>
      <c r="K545" s="15">
        <f t="shared" si="84"/>
        <v>2412.9</v>
      </c>
      <c r="L545" s="12">
        <v>200</v>
      </c>
      <c r="M545" s="12">
        <f t="shared" si="85"/>
        <v>208</v>
      </c>
      <c r="N545" s="15">
        <v>4</v>
      </c>
      <c r="O545" s="15">
        <f t="shared" si="86"/>
        <v>96.67067307692308</v>
      </c>
      <c r="P545" s="15">
        <f t="shared" si="87"/>
        <v>193.34134615384616</v>
      </c>
      <c r="Q545" s="15">
        <f t="shared" si="88"/>
        <v>773.36538461538464</v>
      </c>
      <c r="R545" s="12">
        <v>43602</v>
      </c>
      <c r="S545" s="15">
        <f t="shared" si="89"/>
        <v>49266</v>
      </c>
      <c r="T545" s="20">
        <f>S545/median_percentile!$B$1</f>
        <v>0.9775290931277717</v>
      </c>
      <c r="U545" s="24" t="str" cm="1">
        <f t="array" ref="U545">_xlfn.IFS(T545&lt;1,"underpaid",T545&gt;1,"overpaid",T545=1,"median pay")</f>
        <v>underpaid</v>
      </c>
      <c r="V545" s="5"/>
    </row>
    <row r="546" spans="1:22" x14ac:dyDescent="0.3">
      <c r="A546" s="21" t="s">
        <v>557</v>
      </c>
      <c r="B546" s="8" t="s">
        <v>1556</v>
      </c>
      <c r="C546" s="8" t="s">
        <v>2013</v>
      </c>
      <c r="D546" s="9">
        <v>43675</v>
      </c>
      <c r="E546" s="10">
        <f t="shared" si="80"/>
        <v>862836</v>
      </c>
      <c r="F546" s="8">
        <v>62374</v>
      </c>
      <c r="G546" s="8">
        <v>9529</v>
      </c>
      <c r="H546" s="11">
        <f t="shared" si="81"/>
        <v>31187</v>
      </c>
      <c r="I546" s="11">
        <f t="shared" si="82"/>
        <v>12474.800000000001</v>
      </c>
      <c r="J546" s="11">
        <f t="shared" si="83"/>
        <v>18712.199999999997</v>
      </c>
      <c r="K546" s="11">
        <f t="shared" si="84"/>
        <v>3742.44</v>
      </c>
      <c r="L546" s="8">
        <v>200</v>
      </c>
      <c r="M546" s="8">
        <f t="shared" si="85"/>
        <v>208</v>
      </c>
      <c r="N546" s="11">
        <v>5</v>
      </c>
      <c r="O546" s="11">
        <f t="shared" si="86"/>
        <v>149.9375</v>
      </c>
      <c r="P546" s="11">
        <f t="shared" si="87"/>
        <v>299.875</v>
      </c>
      <c r="Q546" s="11">
        <f t="shared" si="88"/>
        <v>1499.375</v>
      </c>
      <c r="R546" s="8">
        <v>69000</v>
      </c>
      <c r="S546" s="11">
        <f t="shared" si="89"/>
        <v>78529</v>
      </c>
      <c r="T546" s="20">
        <f>S546/median_percentile!$B$1</f>
        <v>1.5581614532178536</v>
      </c>
      <c r="U546" s="24" t="str" cm="1">
        <f t="array" ref="U546">_xlfn.IFS(T546&lt;1,"underpaid",T546&gt;1,"overpaid",T546=1,"median pay")</f>
        <v>overpaid</v>
      </c>
      <c r="V546" s="5"/>
    </row>
    <row r="547" spans="1:22" x14ac:dyDescent="0.3">
      <c r="A547" s="22" t="s">
        <v>558</v>
      </c>
      <c r="B547" s="12" t="s">
        <v>1557</v>
      </c>
      <c r="C547" s="12" t="s">
        <v>2014</v>
      </c>
      <c r="D547" s="13">
        <v>45685</v>
      </c>
      <c r="E547" s="14">
        <f t="shared" si="80"/>
        <v>630588</v>
      </c>
      <c r="F547" s="12">
        <v>44433</v>
      </c>
      <c r="G547" s="12">
        <v>8116</v>
      </c>
      <c r="H547" s="15">
        <f t="shared" si="81"/>
        <v>22216.5</v>
      </c>
      <c r="I547" s="15">
        <f t="shared" si="82"/>
        <v>8886.6</v>
      </c>
      <c r="J547" s="15">
        <f t="shared" si="83"/>
        <v>13329.900000000001</v>
      </c>
      <c r="K547" s="15">
        <f t="shared" si="84"/>
        <v>2665.98</v>
      </c>
      <c r="L547" s="12">
        <v>200</v>
      </c>
      <c r="M547" s="12">
        <f t="shared" si="85"/>
        <v>208</v>
      </c>
      <c r="N547" s="15">
        <v>3</v>
      </c>
      <c r="O547" s="15">
        <f t="shared" si="86"/>
        <v>106.81009615384616</v>
      </c>
      <c r="P547" s="15">
        <f t="shared" si="87"/>
        <v>213.62019230769232</v>
      </c>
      <c r="Q547" s="15">
        <f t="shared" si="88"/>
        <v>640.86057692307691</v>
      </c>
      <c r="R547" s="12">
        <v>50424</v>
      </c>
      <c r="S547" s="15">
        <f t="shared" si="89"/>
        <v>58540</v>
      </c>
      <c r="T547" s="20">
        <f>S547/median_percentile!$B$1</f>
        <v>1.1615425062253837</v>
      </c>
      <c r="U547" s="24" t="str" cm="1">
        <f t="array" ref="U547">_xlfn.IFS(T547&lt;1,"underpaid",T547&gt;1,"overpaid",T547=1,"median pay")</f>
        <v>overpaid</v>
      </c>
      <c r="V547" s="5"/>
    </row>
    <row r="548" spans="1:22" x14ac:dyDescent="0.3">
      <c r="A548" s="21" t="s">
        <v>559</v>
      </c>
      <c r="B548" s="8" t="s">
        <v>1558</v>
      </c>
      <c r="C548" s="8" t="s">
        <v>2012</v>
      </c>
      <c r="D548" s="9">
        <v>44580</v>
      </c>
      <c r="E548" s="10">
        <f t="shared" si="80"/>
        <v>455736</v>
      </c>
      <c r="F548" s="8">
        <v>33774</v>
      </c>
      <c r="G548" s="8">
        <v>4204</v>
      </c>
      <c r="H548" s="11">
        <f t="shared" si="81"/>
        <v>16887</v>
      </c>
      <c r="I548" s="11">
        <f t="shared" si="82"/>
        <v>6754.8</v>
      </c>
      <c r="J548" s="11">
        <f t="shared" si="83"/>
        <v>10132.200000000001</v>
      </c>
      <c r="K548" s="11">
        <f t="shared" si="84"/>
        <v>2026.4399999999998</v>
      </c>
      <c r="L548" s="8">
        <v>200</v>
      </c>
      <c r="M548" s="8">
        <f t="shared" si="85"/>
        <v>208</v>
      </c>
      <c r="N548" s="11">
        <v>1</v>
      </c>
      <c r="O548" s="11">
        <f t="shared" si="86"/>
        <v>81.1875</v>
      </c>
      <c r="P548" s="11">
        <f t="shared" si="87"/>
        <v>162.375</v>
      </c>
      <c r="Q548" s="11">
        <f t="shared" si="88"/>
        <v>162.375</v>
      </c>
      <c r="R548" s="8">
        <v>35752</v>
      </c>
      <c r="S548" s="11">
        <f t="shared" si="89"/>
        <v>39956</v>
      </c>
      <c r="T548" s="20">
        <f>S548/median_percentile!$B$1</f>
        <v>0.79280137305673781</v>
      </c>
      <c r="U548" s="24" t="str" cm="1">
        <f t="array" ref="U548">_xlfn.IFS(T548&lt;1,"underpaid",T548&gt;1,"overpaid",T548=1,"median pay")</f>
        <v>underpaid</v>
      </c>
      <c r="V548" s="5"/>
    </row>
    <row r="549" spans="1:22" x14ac:dyDescent="0.3">
      <c r="A549" s="22" t="s">
        <v>560</v>
      </c>
      <c r="B549" s="12" t="s">
        <v>1559</v>
      </c>
      <c r="C549" s="12" t="s">
        <v>2011</v>
      </c>
      <c r="D549" s="13">
        <v>45262</v>
      </c>
      <c r="E549" s="14">
        <f t="shared" si="80"/>
        <v>589320</v>
      </c>
      <c r="F549" s="12">
        <v>41516</v>
      </c>
      <c r="G549" s="12">
        <v>7594</v>
      </c>
      <c r="H549" s="15">
        <f t="shared" si="81"/>
        <v>20758</v>
      </c>
      <c r="I549" s="15">
        <f t="shared" si="82"/>
        <v>8303.2000000000007</v>
      </c>
      <c r="J549" s="15">
        <f t="shared" si="83"/>
        <v>12454.8</v>
      </c>
      <c r="K549" s="15">
        <f t="shared" si="84"/>
        <v>2490.96</v>
      </c>
      <c r="L549" s="12">
        <v>200</v>
      </c>
      <c r="M549" s="12">
        <f t="shared" si="85"/>
        <v>208</v>
      </c>
      <c r="N549" s="15">
        <v>0</v>
      </c>
      <c r="O549" s="15">
        <f t="shared" si="86"/>
        <v>99.79807692307692</v>
      </c>
      <c r="P549" s="15">
        <f t="shared" si="87"/>
        <v>199.59615384615384</v>
      </c>
      <c r="Q549" s="15">
        <f t="shared" si="88"/>
        <v>0</v>
      </c>
      <c r="R549" s="12">
        <v>46765</v>
      </c>
      <c r="S549" s="15">
        <f t="shared" si="89"/>
        <v>54359</v>
      </c>
      <c r="T549" s="20">
        <f>S549/median_percentile!$B$1</f>
        <v>1.0785836880065875</v>
      </c>
      <c r="U549" s="24" t="str" cm="1">
        <f t="array" ref="U549">_xlfn.IFS(T549&lt;1,"underpaid",T549&gt;1,"overpaid",T549=1,"median pay")</f>
        <v>overpaid</v>
      </c>
      <c r="V549" s="5"/>
    </row>
    <row r="550" spans="1:22" x14ac:dyDescent="0.3">
      <c r="A550" s="21" t="s">
        <v>561</v>
      </c>
      <c r="B550" s="8" t="s">
        <v>1560</v>
      </c>
      <c r="C550" s="8" t="s">
        <v>2011</v>
      </c>
      <c r="D550" s="9">
        <v>44627</v>
      </c>
      <c r="E550" s="10">
        <f t="shared" si="80"/>
        <v>482568</v>
      </c>
      <c r="F550" s="8">
        <v>35640</v>
      </c>
      <c r="G550" s="8">
        <v>4574</v>
      </c>
      <c r="H550" s="11">
        <f t="shared" si="81"/>
        <v>17820</v>
      </c>
      <c r="I550" s="11">
        <f t="shared" si="82"/>
        <v>7128</v>
      </c>
      <c r="J550" s="11">
        <f t="shared" si="83"/>
        <v>10692</v>
      </c>
      <c r="K550" s="11">
        <f t="shared" si="84"/>
        <v>2138.4</v>
      </c>
      <c r="L550" s="8">
        <v>200</v>
      </c>
      <c r="M550" s="8">
        <f t="shared" si="85"/>
        <v>208</v>
      </c>
      <c r="N550" s="11">
        <v>0</v>
      </c>
      <c r="O550" s="11">
        <f t="shared" si="86"/>
        <v>85.67307692307692</v>
      </c>
      <c r="P550" s="11">
        <f t="shared" si="87"/>
        <v>171.34615384615384</v>
      </c>
      <c r="Q550" s="11">
        <f t="shared" si="88"/>
        <v>0</v>
      </c>
      <c r="R550" s="8">
        <v>37876</v>
      </c>
      <c r="S550" s="11">
        <f t="shared" si="89"/>
        <v>42450</v>
      </c>
      <c r="T550" s="20">
        <f>S550/median_percentile!$B$1</f>
        <v>0.84228697282657217</v>
      </c>
      <c r="U550" s="24" t="str" cm="1">
        <f t="array" ref="U550">_xlfn.IFS(T550&lt;1,"underpaid",T550&gt;1,"overpaid",T550=1,"median pay")</f>
        <v>underpaid</v>
      </c>
      <c r="V550" s="5"/>
    </row>
    <row r="551" spans="1:22" x14ac:dyDescent="0.3">
      <c r="A551" s="22" t="s">
        <v>562</v>
      </c>
      <c r="B551" s="12" t="s">
        <v>1561</v>
      </c>
      <c r="C551" s="12" t="s">
        <v>2011</v>
      </c>
      <c r="D551" s="13">
        <v>43729</v>
      </c>
      <c r="E551" s="14">
        <f t="shared" si="80"/>
        <v>319620</v>
      </c>
      <c r="F551" s="12">
        <v>23130</v>
      </c>
      <c r="G551" s="12">
        <v>3505</v>
      </c>
      <c r="H551" s="15">
        <f t="shared" si="81"/>
        <v>11565</v>
      </c>
      <c r="I551" s="15">
        <f t="shared" si="82"/>
        <v>4626</v>
      </c>
      <c r="J551" s="15">
        <f t="shared" si="83"/>
        <v>6939</v>
      </c>
      <c r="K551" s="15">
        <f t="shared" si="84"/>
        <v>1387.8</v>
      </c>
      <c r="L551" s="12">
        <v>200</v>
      </c>
      <c r="M551" s="12">
        <f t="shared" si="85"/>
        <v>208</v>
      </c>
      <c r="N551" s="15">
        <v>2</v>
      </c>
      <c r="O551" s="15">
        <f t="shared" si="86"/>
        <v>55.60096153846154</v>
      </c>
      <c r="P551" s="15">
        <f t="shared" si="87"/>
        <v>111.20192307692308</v>
      </c>
      <c r="Q551" s="15">
        <f t="shared" si="88"/>
        <v>222.40384615384616</v>
      </c>
      <c r="R551" s="12">
        <v>25048</v>
      </c>
      <c r="S551" s="15">
        <f t="shared" si="89"/>
        <v>28553</v>
      </c>
      <c r="T551" s="20">
        <f>S551/median_percentile!$B$1</f>
        <v>0.56654463922537379</v>
      </c>
      <c r="U551" s="24" t="str" cm="1">
        <f t="array" ref="U551">_xlfn.IFS(T551&lt;1,"underpaid",T551&gt;1,"overpaid",T551=1,"median pay")</f>
        <v>underpaid</v>
      </c>
      <c r="V551" s="5"/>
    </row>
    <row r="552" spans="1:22" x14ac:dyDescent="0.3">
      <c r="A552" s="21" t="s">
        <v>563</v>
      </c>
      <c r="B552" s="8" t="s">
        <v>1562</v>
      </c>
      <c r="C552" s="8" t="s">
        <v>2013</v>
      </c>
      <c r="D552" s="9">
        <v>44599</v>
      </c>
      <c r="E552" s="10">
        <f t="shared" si="80"/>
        <v>605244</v>
      </c>
      <c r="F552" s="8">
        <v>43284</v>
      </c>
      <c r="G552" s="8">
        <v>7153</v>
      </c>
      <c r="H552" s="11">
        <f t="shared" si="81"/>
        <v>21642</v>
      </c>
      <c r="I552" s="11">
        <f t="shared" si="82"/>
        <v>8656.8000000000011</v>
      </c>
      <c r="J552" s="11">
        <f t="shared" si="83"/>
        <v>12985.199999999997</v>
      </c>
      <c r="K552" s="11">
        <f t="shared" si="84"/>
        <v>2597.04</v>
      </c>
      <c r="L552" s="8">
        <v>200</v>
      </c>
      <c r="M552" s="8">
        <f t="shared" si="85"/>
        <v>208</v>
      </c>
      <c r="N552" s="11">
        <v>0</v>
      </c>
      <c r="O552" s="11">
        <f t="shared" si="86"/>
        <v>104.04807692307692</v>
      </c>
      <c r="P552" s="11">
        <f t="shared" si="87"/>
        <v>208.09615384615384</v>
      </c>
      <c r="Q552" s="11">
        <f t="shared" si="88"/>
        <v>0</v>
      </c>
      <c r="R552" s="8">
        <v>48000</v>
      </c>
      <c r="S552" s="11">
        <f t="shared" si="89"/>
        <v>55153</v>
      </c>
      <c r="T552" s="20">
        <f>S552/median_percentile!$B$1</f>
        <v>1.0943381251426134</v>
      </c>
      <c r="U552" s="24" t="str" cm="1">
        <f t="array" ref="U552">_xlfn.IFS(T552&lt;1,"underpaid",T552&gt;1,"overpaid",T552=1,"median pay")</f>
        <v>overpaid</v>
      </c>
      <c r="V552" s="5"/>
    </row>
    <row r="553" spans="1:22" x14ac:dyDescent="0.3">
      <c r="A553" s="22" t="s">
        <v>564</v>
      </c>
      <c r="B553" s="12" t="s">
        <v>1563</v>
      </c>
      <c r="C553" s="12" t="s">
        <v>2013</v>
      </c>
      <c r="D553" s="13">
        <v>44811</v>
      </c>
      <c r="E553" s="14">
        <f t="shared" si="80"/>
        <v>450924</v>
      </c>
      <c r="F553" s="12">
        <v>33763</v>
      </c>
      <c r="G553" s="12">
        <v>3814</v>
      </c>
      <c r="H553" s="15">
        <f t="shared" si="81"/>
        <v>16881.5</v>
      </c>
      <c r="I553" s="15">
        <f t="shared" si="82"/>
        <v>6752.6</v>
      </c>
      <c r="J553" s="15">
        <f t="shared" si="83"/>
        <v>10128.900000000001</v>
      </c>
      <c r="K553" s="15">
        <f t="shared" si="84"/>
        <v>2025.78</v>
      </c>
      <c r="L553" s="12">
        <v>200</v>
      </c>
      <c r="M553" s="12">
        <f t="shared" si="85"/>
        <v>208</v>
      </c>
      <c r="N553" s="15">
        <v>5</v>
      </c>
      <c r="O553" s="15">
        <f t="shared" si="86"/>
        <v>81.161057692307693</v>
      </c>
      <c r="P553" s="15">
        <f t="shared" si="87"/>
        <v>162.32211538461539</v>
      </c>
      <c r="Q553" s="15">
        <f t="shared" si="88"/>
        <v>811.61057692307691</v>
      </c>
      <c r="R553" s="12">
        <v>35352</v>
      </c>
      <c r="S553" s="15">
        <f t="shared" si="89"/>
        <v>39166</v>
      </c>
      <c r="T553" s="20">
        <f>S553/median_percentile!$B$1</f>
        <v>0.77712630336220323</v>
      </c>
      <c r="U553" s="24" t="str" cm="1">
        <f t="array" ref="U553">_xlfn.IFS(T553&lt;1,"underpaid",T553&gt;1,"overpaid",T553=1,"median pay")</f>
        <v>underpaid</v>
      </c>
      <c r="V553" s="5"/>
    </row>
    <row r="554" spans="1:22" x14ac:dyDescent="0.3">
      <c r="A554" s="21" t="s">
        <v>565</v>
      </c>
      <c r="B554" s="8" t="s">
        <v>1564</v>
      </c>
      <c r="C554" s="8" t="s">
        <v>2013</v>
      </c>
      <c r="D554" s="9">
        <v>44413</v>
      </c>
      <c r="E554" s="10">
        <f t="shared" si="80"/>
        <v>591036</v>
      </c>
      <c r="F554" s="8">
        <v>42009</v>
      </c>
      <c r="G554" s="8">
        <v>7244</v>
      </c>
      <c r="H554" s="11">
        <f t="shared" si="81"/>
        <v>21004.5</v>
      </c>
      <c r="I554" s="11">
        <f t="shared" si="82"/>
        <v>8401.8000000000011</v>
      </c>
      <c r="J554" s="11">
        <f t="shared" si="83"/>
        <v>12602.699999999997</v>
      </c>
      <c r="K554" s="11">
        <f t="shared" si="84"/>
        <v>2520.54</v>
      </c>
      <c r="L554" s="8">
        <v>200</v>
      </c>
      <c r="M554" s="8">
        <f t="shared" si="85"/>
        <v>208</v>
      </c>
      <c r="N554" s="11">
        <v>5</v>
      </c>
      <c r="O554" s="11">
        <f t="shared" si="86"/>
        <v>100.98317307692308</v>
      </c>
      <c r="P554" s="11">
        <f t="shared" si="87"/>
        <v>201.96634615384616</v>
      </c>
      <c r="Q554" s="11">
        <f t="shared" si="88"/>
        <v>1009.8317307692308</v>
      </c>
      <c r="R554" s="8">
        <v>46883</v>
      </c>
      <c r="S554" s="11">
        <f t="shared" si="89"/>
        <v>54127</v>
      </c>
      <c r="T554" s="20">
        <f>S554/median_percentile!$B$1</f>
        <v>1.0739803764000913</v>
      </c>
      <c r="U554" s="24" t="str" cm="1">
        <f t="array" ref="U554">_xlfn.IFS(T554&lt;1,"underpaid",T554&gt;1,"overpaid",T554=1,"median pay")</f>
        <v>overpaid</v>
      </c>
      <c r="V554" s="5"/>
    </row>
    <row r="555" spans="1:22" x14ac:dyDescent="0.3">
      <c r="A555" s="22" t="s">
        <v>566</v>
      </c>
      <c r="B555" s="12" t="s">
        <v>1565</v>
      </c>
      <c r="C555" s="12" t="s">
        <v>2016</v>
      </c>
      <c r="D555" s="13">
        <v>43877</v>
      </c>
      <c r="E555" s="14">
        <f t="shared" si="80"/>
        <v>495288</v>
      </c>
      <c r="F555" s="12">
        <v>35689</v>
      </c>
      <c r="G555" s="12">
        <v>5585</v>
      </c>
      <c r="H555" s="15">
        <f t="shared" si="81"/>
        <v>17844.5</v>
      </c>
      <c r="I555" s="15">
        <f t="shared" si="82"/>
        <v>7137.8</v>
      </c>
      <c r="J555" s="15">
        <f t="shared" si="83"/>
        <v>10706.7</v>
      </c>
      <c r="K555" s="15">
        <f t="shared" si="84"/>
        <v>2141.34</v>
      </c>
      <c r="L555" s="12">
        <v>200</v>
      </c>
      <c r="M555" s="12">
        <f t="shared" si="85"/>
        <v>208</v>
      </c>
      <c r="N555" s="15">
        <v>5</v>
      </c>
      <c r="O555" s="15">
        <f t="shared" si="86"/>
        <v>85.790865384615387</v>
      </c>
      <c r="P555" s="15">
        <f t="shared" si="87"/>
        <v>171.58173076923077</v>
      </c>
      <c r="Q555" s="15">
        <f t="shared" si="88"/>
        <v>857.90865384615381</v>
      </c>
      <c r="R555" s="12">
        <v>38933</v>
      </c>
      <c r="S555" s="15">
        <f t="shared" si="89"/>
        <v>44518</v>
      </c>
      <c r="T555" s="20">
        <f>S555/median_percentile!$B$1</f>
        <v>0.88331994007758163</v>
      </c>
      <c r="U555" s="24" t="str" cm="1">
        <f t="array" ref="U555">_xlfn.IFS(T555&lt;1,"underpaid",T555&gt;1,"overpaid",T555=1,"median pay")</f>
        <v>underpaid</v>
      </c>
      <c r="V555" s="5"/>
    </row>
    <row r="556" spans="1:22" x14ac:dyDescent="0.3">
      <c r="A556" s="21" t="s">
        <v>567</v>
      </c>
      <c r="B556" s="8" t="s">
        <v>1566</v>
      </c>
      <c r="C556" s="8" t="s">
        <v>2014</v>
      </c>
      <c r="D556" s="9">
        <v>43671</v>
      </c>
      <c r="E556" s="10">
        <f t="shared" si="80"/>
        <v>581520</v>
      </c>
      <c r="F556" s="8">
        <v>42781</v>
      </c>
      <c r="G556" s="8">
        <v>5679</v>
      </c>
      <c r="H556" s="11">
        <f t="shared" si="81"/>
        <v>21390.5</v>
      </c>
      <c r="I556" s="11">
        <f t="shared" si="82"/>
        <v>8556.2000000000007</v>
      </c>
      <c r="J556" s="11">
        <f t="shared" si="83"/>
        <v>12834.3</v>
      </c>
      <c r="K556" s="11">
        <f t="shared" si="84"/>
        <v>2566.86</v>
      </c>
      <c r="L556" s="8">
        <v>200</v>
      </c>
      <c r="M556" s="8">
        <f t="shared" si="85"/>
        <v>208</v>
      </c>
      <c r="N556" s="11">
        <v>4</v>
      </c>
      <c r="O556" s="11">
        <f t="shared" si="86"/>
        <v>102.83894230769231</v>
      </c>
      <c r="P556" s="11">
        <f t="shared" si="87"/>
        <v>205.67788461538461</v>
      </c>
      <c r="Q556" s="11">
        <f t="shared" si="88"/>
        <v>822.71153846153845</v>
      </c>
      <c r="R556" s="8">
        <v>45694</v>
      </c>
      <c r="S556" s="11">
        <f t="shared" si="89"/>
        <v>51373</v>
      </c>
      <c r="T556" s="20">
        <f>S556/median_percentile!$B$1</f>
        <v>1.0193358929333214</v>
      </c>
      <c r="U556" s="24" t="str" cm="1">
        <f t="array" ref="U556">_xlfn.IFS(T556&lt;1,"underpaid",T556&gt;1,"overpaid",T556=1,"median pay")</f>
        <v>overpaid</v>
      </c>
      <c r="V556" s="5"/>
    </row>
    <row r="557" spans="1:22" x14ac:dyDescent="0.3">
      <c r="A557" s="22" t="s">
        <v>568</v>
      </c>
      <c r="B557" s="12" t="s">
        <v>1567</v>
      </c>
      <c r="C557" s="12" t="s">
        <v>2014</v>
      </c>
      <c r="D557" s="13">
        <v>44510</v>
      </c>
      <c r="E557" s="14">
        <f t="shared" si="80"/>
        <v>1002492</v>
      </c>
      <c r="F557" s="12">
        <v>75201</v>
      </c>
      <c r="G557" s="12">
        <v>8340</v>
      </c>
      <c r="H557" s="15">
        <f t="shared" si="81"/>
        <v>37600.5</v>
      </c>
      <c r="I557" s="15">
        <f t="shared" si="82"/>
        <v>15040.2</v>
      </c>
      <c r="J557" s="15">
        <f t="shared" si="83"/>
        <v>22560.300000000003</v>
      </c>
      <c r="K557" s="15">
        <f t="shared" si="84"/>
        <v>4512.0599999999995</v>
      </c>
      <c r="L557" s="12">
        <v>200</v>
      </c>
      <c r="M557" s="12">
        <f t="shared" si="85"/>
        <v>208</v>
      </c>
      <c r="N557" s="15">
        <v>3</v>
      </c>
      <c r="O557" s="15">
        <f t="shared" si="86"/>
        <v>180.77163461538461</v>
      </c>
      <c r="P557" s="15">
        <f t="shared" si="87"/>
        <v>361.54326923076923</v>
      </c>
      <c r="Q557" s="15">
        <f t="shared" si="88"/>
        <v>1084.6298076923076</v>
      </c>
      <c r="R557" s="12">
        <v>80082</v>
      </c>
      <c r="S557" s="15">
        <f t="shared" si="89"/>
        <v>88422</v>
      </c>
      <c r="T557" s="20">
        <f>S557/median_percentile!$B$1</f>
        <v>1.7544569778862467</v>
      </c>
      <c r="U557" s="24" t="str" cm="1">
        <f t="array" ref="U557">_xlfn.IFS(T557&lt;1,"underpaid",T557&gt;1,"overpaid",T557=1,"median pay")</f>
        <v>overpaid</v>
      </c>
      <c r="V557" s="5"/>
    </row>
    <row r="558" spans="1:22" x14ac:dyDescent="0.3">
      <c r="A558" s="21" t="s">
        <v>569</v>
      </c>
      <c r="B558" s="8" t="s">
        <v>1568</v>
      </c>
      <c r="C558" s="8" t="s">
        <v>2014</v>
      </c>
      <c r="D558" s="9">
        <v>43525</v>
      </c>
      <c r="E558" s="10">
        <f t="shared" si="80"/>
        <v>916536</v>
      </c>
      <c r="F558" s="8">
        <v>68600</v>
      </c>
      <c r="G558" s="8">
        <v>7778</v>
      </c>
      <c r="H558" s="11">
        <f t="shared" si="81"/>
        <v>34300</v>
      </c>
      <c r="I558" s="11">
        <f t="shared" si="82"/>
        <v>13720</v>
      </c>
      <c r="J558" s="11">
        <f t="shared" si="83"/>
        <v>20580</v>
      </c>
      <c r="K558" s="11">
        <f t="shared" si="84"/>
        <v>4116</v>
      </c>
      <c r="L558" s="8">
        <v>200</v>
      </c>
      <c r="M558" s="8">
        <f t="shared" si="85"/>
        <v>208</v>
      </c>
      <c r="N558" s="11">
        <v>4</v>
      </c>
      <c r="O558" s="11">
        <f t="shared" si="86"/>
        <v>164.90384615384616</v>
      </c>
      <c r="P558" s="11">
        <f t="shared" si="87"/>
        <v>329.80769230769232</v>
      </c>
      <c r="Q558" s="11">
        <f t="shared" si="88"/>
        <v>1319.2307692307693</v>
      </c>
      <c r="R558" s="8">
        <v>73205</v>
      </c>
      <c r="S558" s="11">
        <f t="shared" si="89"/>
        <v>80983</v>
      </c>
      <c r="T558" s="20">
        <f>S558/median_percentile!$B$1</f>
        <v>1.606853378572775</v>
      </c>
      <c r="U558" s="24" t="str" cm="1">
        <f t="array" ref="U558">_xlfn.IFS(T558&lt;1,"underpaid",T558&gt;1,"overpaid",T558=1,"median pay")</f>
        <v>overpaid</v>
      </c>
      <c r="V558" s="5"/>
    </row>
    <row r="559" spans="1:22" x14ac:dyDescent="0.3">
      <c r="A559" s="22" t="s">
        <v>570</v>
      </c>
      <c r="B559" s="12" t="s">
        <v>1569</v>
      </c>
      <c r="C559" s="12" t="s">
        <v>2011</v>
      </c>
      <c r="D559" s="13">
        <v>45959</v>
      </c>
      <c r="E559" s="14">
        <f t="shared" si="80"/>
        <v>352500</v>
      </c>
      <c r="F559" s="12">
        <v>26607</v>
      </c>
      <c r="G559" s="12">
        <v>2768</v>
      </c>
      <c r="H559" s="15">
        <f t="shared" si="81"/>
        <v>13303.5</v>
      </c>
      <c r="I559" s="15">
        <f t="shared" si="82"/>
        <v>5321.4000000000005</v>
      </c>
      <c r="J559" s="15">
        <f t="shared" si="83"/>
        <v>7982.0999999999985</v>
      </c>
      <c r="K559" s="15">
        <f t="shared" si="84"/>
        <v>1596.4199999999998</v>
      </c>
      <c r="L559" s="12">
        <v>200</v>
      </c>
      <c r="M559" s="12">
        <f t="shared" si="85"/>
        <v>208</v>
      </c>
      <c r="N559" s="15">
        <v>5</v>
      </c>
      <c r="O559" s="15">
        <f t="shared" si="86"/>
        <v>63.959134615384613</v>
      </c>
      <c r="P559" s="15">
        <f t="shared" si="87"/>
        <v>127.91826923076923</v>
      </c>
      <c r="Q559" s="15">
        <f t="shared" si="88"/>
        <v>639.59134615384619</v>
      </c>
      <c r="R559" s="12">
        <v>27800</v>
      </c>
      <c r="S559" s="15">
        <f t="shared" si="89"/>
        <v>30568</v>
      </c>
      <c r="T559" s="20">
        <f>S559/median_percentile!$B$1</f>
        <v>0.60652598787662326</v>
      </c>
      <c r="U559" s="24" t="str" cm="1">
        <f t="array" ref="U559">_xlfn.IFS(T559&lt;1,"underpaid",T559&gt;1,"overpaid",T559=1,"median pay")</f>
        <v>underpaid</v>
      </c>
      <c r="V559" s="5"/>
    </row>
    <row r="560" spans="1:22" x14ac:dyDescent="0.3">
      <c r="A560" s="21" t="s">
        <v>571</v>
      </c>
      <c r="B560" s="8" t="s">
        <v>1570</v>
      </c>
      <c r="C560" s="8" t="s">
        <v>2011</v>
      </c>
      <c r="D560" s="9">
        <v>45837</v>
      </c>
      <c r="E560" s="10">
        <f t="shared" si="80"/>
        <v>483648</v>
      </c>
      <c r="F560" s="8">
        <v>35584</v>
      </c>
      <c r="G560" s="8">
        <v>4720</v>
      </c>
      <c r="H560" s="11">
        <f t="shared" si="81"/>
        <v>17792</v>
      </c>
      <c r="I560" s="11">
        <f t="shared" si="82"/>
        <v>7116.8</v>
      </c>
      <c r="J560" s="11">
        <f t="shared" si="83"/>
        <v>10675.2</v>
      </c>
      <c r="K560" s="11">
        <f t="shared" si="84"/>
        <v>2135.04</v>
      </c>
      <c r="L560" s="8">
        <v>200</v>
      </c>
      <c r="M560" s="8">
        <f t="shared" si="85"/>
        <v>208</v>
      </c>
      <c r="N560" s="11">
        <v>2</v>
      </c>
      <c r="O560" s="11">
        <f t="shared" si="86"/>
        <v>85.538461538461533</v>
      </c>
      <c r="P560" s="11">
        <f t="shared" si="87"/>
        <v>171.07692307692307</v>
      </c>
      <c r="Q560" s="11">
        <f t="shared" si="88"/>
        <v>342.15384615384613</v>
      </c>
      <c r="R560" s="8">
        <v>38265</v>
      </c>
      <c r="S560" s="11">
        <f t="shared" si="89"/>
        <v>42985</v>
      </c>
      <c r="T560" s="20">
        <f>S560/median_percentile!$B$1</f>
        <v>0.85290236812603548</v>
      </c>
      <c r="U560" s="24" t="str" cm="1">
        <f t="array" ref="U560">_xlfn.IFS(T560&lt;1,"underpaid",T560&gt;1,"overpaid",T560=1,"median pay")</f>
        <v>underpaid</v>
      </c>
      <c r="V560" s="5"/>
    </row>
    <row r="561" spans="1:22" x14ac:dyDescent="0.3">
      <c r="A561" s="22" t="s">
        <v>572</v>
      </c>
      <c r="B561" s="12" t="s">
        <v>1571</v>
      </c>
      <c r="C561" s="12" t="s">
        <v>2016</v>
      </c>
      <c r="D561" s="13">
        <v>44207</v>
      </c>
      <c r="E561" s="14">
        <f t="shared" si="80"/>
        <v>459696</v>
      </c>
      <c r="F561" s="12">
        <v>33072</v>
      </c>
      <c r="G561" s="12">
        <v>5236</v>
      </c>
      <c r="H561" s="15">
        <f t="shared" si="81"/>
        <v>16536</v>
      </c>
      <c r="I561" s="15">
        <f t="shared" si="82"/>
        <v>6614.4000000000005</v>
      </c>
      <c r="J561" s="15">
        <f t="shared" si="83"/>
        <v>9921.5999999999985</v>
      </c>
      <c r="K561" s="15">
        <f t="shared" si="84"/>
        <v>1984.32</v>
      </c>
      <c r="L561" s="12">
        <v>200</v>
      </c>
      <c r="M561" s="12">
        <f t="shared" si="85"/>
        <v>208</v>
      </c>
      <c r="N561" s="15">
        <v>5</v>
      </c>
      <c r="O561" s="15">
        <f t="shared" si="86"/>
        <v>79.5</v>
      </c>
      <c r="P561" s="15">
        <f t="shared" si="87"/>
        <v>159</v>
      </c>
      <c r="Q561" s="15">
        <f t="shared" si="88"/>
        <v>795</v>
      </c>
      <c r="R561" s="12">
        <v>36124</v>
      </c>
      <c r="S561" s="15">
        <f t="shared" si="89"/>
        <v>41360</v>
      </c>
      <c r="T561" s="20">
        <f>S561/median_percentile!$B$1</f>
        <v>0.82065934502018911</v>
      </c>
      <c r="U561" s="24" t="str" cm="1">
        <f t="array" ref="U561">_xlfn.IFS(T561&lt;1,"underpaid",T561&gt;1,"overpaid",T561=1,"median pay")</f>
        <v>underpaid</v>
      </c>
      <c r="V561" s="5"/>
    </row>
    <row r="562" spans="1:22" x14ac:dyDescent="0.3">
      <c r="A562" s="21" t="s">
        <v>573</v>
      </c>
      <c r="B562" s="8" t="s">
        <v>1572</v>
      </c>
      <c r="C562" s="8" t="s">
        <v>2014</v>
      </c>
      <c r="D562" s="9">
        <v>44367</v>
      </c>
      <c r="E562" s="10">
        <f t="shared" si="80"/>
        <v>509856</v>
      </c>
      <c r="F562" s="8">
        <v>35740</v>
      </c>
      <c r="G562" s="8">
        <v>6748</v>
      </c>
      <c r="H562" s="11">
        <f t="shared" si="81"/>
        <v>17870</v>
      </c>
      <c r="I562" s="11">
        <f t="shared" si="82"/>
        <v>7148</v>
      </c>
      <c r="J562" s="11">
        <f t="shared" si="83"/>
        <v>10722</v>
      </c>
      <c r="K562" s="11">
        <f t="shared" si="84"/>
        <v>2144.4</v>
      </c>
      <c r="L562" s="8">
        <v>200</v>
      </c>
      <c r="M562" s="8">
        <f t="shared" si="85"/>
        <v>208</v>
      </c>
      <c r="N562" s="11">
        <v>0</v>
      </c>
      <c r="O562" s="11">
        <f t="shared" si="86"/>
        <v>85.913461538461533</v>
      </c>
      <c r="P562" s="11">
        <f t="shared" si="87"/>
        <v>171.82692307692307</v>
      </c>
      <c r="Q562" s="11">
        <f t="shared" si="88"/>
        <v>0</v>
      </c>
      <c r="R562" s="8">
        <v>40144</v>
      </c>
      <c r="S562" s="11">
        <f t="shared" si="89"/>
        <v>46892</v>
      </c>
      <c r="T562" s="20">
        <f>S562/median_percentile!$B$1</f>
        <v>0.93042451660267667</v>
      </c>
      <c r="U562" s="24" t="str" cm="1">
        <f t="array" ref="U562">_xlfn.IFS(T562&lt;1,"underpaid",T562&gt;1,"overpaid",T562=1,"median pay")</f>
        <v>underpaid</v>
      </c>
      <c r="V562" s="5"/>
    </row>
    <row r="563" spans="1:22" x14ac:dyDescent="0.3">
      <c r="A563" s="22" t="s">
        <v>574</v>
      </c>
      <c r="B563" s="12" t="s">
        <v>1573</v>
      </c>
      <c r="C563" s="12" t="s">
        <v>2012</v>
      </c>
      <c r="D563" s="13">
        <v>44264</v>
      </c>
      <c r="E563" s="14">
        <f t="shared" si="80"/>
        <v>539148</v>
      </c>
      <c r="F563" s="12">
        <v>39129</v>
      </c>
      <c r="G563" s="12">
        <v>5800</v>
      </c>
      <c r="H563" s="15">
        <f t="shared" si="81"/>
        <v>19564.5</v>
      </c>
      <c r="I563" s="15">
        <f t="shared" si="82"/>
        <v>7825.8</v>
      </c>
      <c r="J563" s="15">
        <f t="shared" si="83"/>
        <v>11738.7</v>
      </c>
      <c r="K563" s="15">
        <f t="shared" si="84"/>
        <v>2347.7399999999998</v>
      </c>
      <c r="L563" s="12">
        <v>200</v>
      </c>
      <c r="M563" s="12">
        <f t="shared" si="85"/>
        <v>208</v>
      </c>
      <c r="N563" s="15">
        <v>2</v>
      </c>
      <c r="O563" s="15">
        <f t="shared" si="86"/>
        <v>94.06009615384616</v>
      </c>
      <c r="P563" s="15">
        <f t="shared" si="87"/>
        <v>188.12019230769232</v>
      </c>
      <c r="Q563" s="15">
        <f t="shared" si="88"/>
        <v>376.24038461538464</v>
      </c>
      <c r="R563" s="12">
        <v>42382</v>
      </c>
      <c r="S563" s="15">
        <f t="shared" si="89"/>
        <v>48182</v>
      </c>
      <c r="T563" s="20">
        <f>S563/median_percentile!$B$1</f>
        <v>0.95602051648362552</v>
      </c>
      <c r="U563" s="24" t="str" cm="1">
        <f t="array" ref="U563">_xlfn.IFS(T563&lt;1,"underpaid",T563&gt;1,"overpaid",T563=1,"median pay")</f>
        <v>underpaid</v>
      </c>
      <c r="V563" s="5"/>
    </row>
    <row r="564" spans="1:22" x14ac:dyDescent="0.3">
      <c r="A564" s="21" t="s">
        <v>575</v>
      </c>
      <c r="B564" s="8" t="s">
        <v>1574</v>
      </c>
      <c r="C564" s="8" t="s">
        <v>2011</v>
      </c>
      <c r="D564" s="9">
        <v>45574</v>
      </c>
      <c r="E564" s="10">
        <f t="shared" si="80"/>
        <v>576684</v>
      </c>
      <c r="F564" s="8">
        <v>40140</v>
      </c>
      <c r="G564" s="8">
        <v>7917</v>
      </c>
      <c r="H564" s="11">
        <f t="shared" si="81"/>
        <v>20070</v>
      </c>
      <c r="I564" s="11">
        <f t="shared" si="82"/>
        <v>8028</v>
      </c>
      <c r="J564" s="11">
        <f t="shared" si="83"/>
        <v>12042</v>
      </c>
      <c r="K564" s="11">
        <f t="shared" si="84"/>
        <v>2408.4</v>
      </c>
      <c r="L564" s="8">
        <v>200</v>
      </c>
      <c r="M564" s="8">
        <f t="shared" si="85"/>
        <v>208</v>
      </c>
      <c r="N564" s="11">
        <v>0</v>
      </c>
      <c r="O564" s="11">
        <f t="shared" si="86"/>
        <v>96.490384615384613</v>
      </c>
      <c r="P564" s="11">
        <f t="shared" si="87"/>
        <v>192.98076923076923</v>
      </c>
      <c r="Q564" s="11">
        <f t="shared" si="88"/>
        <v>0</v>
      </c>
      <c r="R564" s="8">
        <v>46118</v>
      </c>
      <c r="S564" s="11">
        <f t="shared" si="89"/>
        <v>54035</v>
      </c>
      <c r="T564" s="20">
        <f>S564/median_percentile!$B$1</f>
        <v>1.0721549252457911</v>
      </c>
      <c r="U564" s="24" t="str" cm="1">
        <f t="array" ref="U564">_xlfn.IFS(T564&lt;1,"underpaid",T564&gt;1,"overpaid",T564=1,"median pay")</f>
        <v>overpaid</v>
      </c>
      <c r="V564" s="5"/>
    </row>
    <row r="565" spans="1:22" x14ac:dyDescent="0.3">
      <c r="A565" s="22" t="s">
        <v>576</v>
      </c>
      <c r="B565" s="12" t="s">
        <v>1575</v>
      </c>
      <c r="C565" s="12" t="s">
        <v>2013</v>
      </c>
      <c r="D565" s="13">
        <v>45924</v>
      </c>
      <c r="E565" s="14">
        <f t="shared" si="80"/>
        <v>867432</v>
      </c>
      <c r="F565" s="12">
        <v>61768</v>
      </c>
      <c r="G565" s="12">
        <v>10518</v>
      </c>
      <c r="H565" s="15">
        <f t="shared" si="81"/>
        <v>30884</v>
      </c>
      <c r="I565" s="15">
        <f t="shared" si="82"/>
        <v>12353.6</v>
      </c>
      <c r="J565" s="15">
        <f t="shared" si="83"/>
        <v>18530.400000000001</v>
      </c>
      <c r="K565" s="15">
        <f t="shared" si="84"/>
        <v>3706.08</v>
      </c>
      <c r="L565" s="12">
        <v>200</v>
      </c>
      <c r="M565" s="12">
        <f t="shared" si="85"/>
        <v>208</v>
      </c>
      <c r="N565" s="15">
        <v>2</v>
      </c>
      <c r="O565" s="15">
        <f t="shared" si="86"/>
        <v>148.48076923076923</v>
      </c>
      <c r="P565" s="15">
        <f t="shared" si="87"/>
        <v>296.96153846153845</v>
      </c>
      <c r="Q565" s="15">
        <f t="shared" si="88"/>
        <v>593.92307692307691</v>
      </c>
      <c r="R565" s="12">
        <v>68380</v>
      </c>
      <c r="S565" s="15">
        <f t="shared" si="89"/>
        <v>78898</v>
      </c>
      <c r="T565" s="20">
        <f>S565/median_percentile!$B$1</f>
        <v>1.5654830996954274</v>
      </c>
      <c r="U565" s="24" t="str" cm="1">
        <f t="array" ref="U565">_xlfn.IFS(T565&lt;1,"underpaid",T565&gt;1,"overpaid",T565=1,"median pay")</f>
        <v>overpaid</v>
      </c>
      <c r="V565" s="5"/>
    </row>
    <row r="566" spans="1:22" x14ac:dyDescent="0.3">
      <c r="A566" s="21" t="s">
        <v>577</v>
      </c>
      <c r="B566" s="8" t="s">
        <v>1576</v>
      </c>
      <c r="C566" s="8" t="s">
        <v>2013</v>
      </c>
      <c r="D566" s="9">
        <v>43809</v>
      </c>
      <c r="E566" s="10">
        <f t="shared" si="80"/>
        <v>560088</v>
      </c>
      <c r="F566" s="8">
        <v>42348</v>
      </c>
      <c r="G566" s="8">
        <v>4326</v>
      </c>
      <c r="H566" s="11">
        <f t="shared" si="81"/>
        <v>21174</v>
      </c>
      <c r="I566" s="11">
        <f t="shared" si="82"/>
        <v>8469.6</v>
      </c>
      <c r="J566" s="11">
        <f t="shared" si="83"/>
        <v>12704.400000000001</v>
      </c>
      <c r="K566" s="11">
        <f t="shared" si="84"/>
        <v>2540.88</v>
      </c>
      <c r="L566" s="8">
        <v>200</v>
      </c>
      <c r="M566" s="8">
        <f t="shared" si="85"/>
        <v>208</v>
      </c>
      <c r="N566" s="11">
        <v>4</v>
      </c>
      <c r="O566" s="11">
        <f t="shared" si="86"/>
        <v>101.79807692307692</v>
      </c>
      <c r="P566" s="11">
        <f t="shared" si="87"/>
        <v>203.59615384615384</v>
      </c>
      <c r="Q566" s="11">
        <f t="shared" si="88"/>
        <v>814.38461538461536</v>
      </c>
      <c r="R566" s="8">
        <v>44286</v>
      </c>
      <c r="S566" s="11">
        <f t="shared" si="89"/>
        <v>48612</v>
      </c>
      <c r="T566" s="20">
        <f>S566/median_percentile!$B$1</f>
        <v>0.9645525164439418</v>
      </c>
      <c r="U566" s="24" t="str" cm="1">
        <f t="array" ref="U566">_xlfn.IFS(T566&lt;1,"underpaid",T566&gt;1,"overpaid",T566=1,"median pay")</f>
        <v>underpaid</v>
      </c>
      <c r="V566" s="5"/>
    </row>
    <row r="567" spans="1:22" x14ac:dyDescent="0.3">
      <c r="A567" s="22" t="s">
        <v>578</v>
      </c>
      <c r="B567" s="12" t="s">
        <v>1577</v>
      </c>
      <c r="C567" s="12" t="s">
        <v>2012</v>
      </c>
      <c r="D567" s="13">
        <v>43906</v>
      </c>
      <c r="E567" s="14">
        <f t="shared" si="80"/>
        <v>383724</v>
      </c>
      <c r="F567" s="12">
        <v>26728</v>
      </c>
      <c r="G567" s="12">
        <v>5249</v>
      </c>
      <c r="H567" s="15">
        <f t="shared" si="81"/>
        <v>13364</v>
      </c>
      <c r="I567" s="15">
        <f t="shared" si="82"/>
        <v>5345.6</v>
      </c>
      <c r="J567" s="15">
        <f t="shared" si="83"/>
        <v>8018.4000000000015</v>
      </c>
      <c r="K567" s="15">
        <f t="shared" si="84"/>
        <v>1603.6799999999998</v>
      </c>
      <c r="L567" s="12">
        <v>200</v>
      </c>
      <c r="M567" s="12">
        <f t="shared" si="85"/>
        <v>208</v>
      </c>
      <c r="N567" s="15">
        <v>3</v>
      </c>
      <c r="O567" s="15">
        <f t="shared" si="86"/>
        <v>64.25</v>
      </c>
      <c r="P567" s="15">
        <f t="shared" si="87"/>
        <v>128.5</v>
      </c>
      <c r="Q567" s="15">
        <f t="shared" si="88"/>
        <v>385.5</v>
      </c>
      <c r="R567" s="12">
        <v>30174</v>
      </c>
      <c r="S567" s="15">
        <f t="shared" si="89"/>
        <v>35423</v>
      </c>
      <c r="T567" s="20">
        <f>S567/median_percentile!$B$1</f>
        <v>0.70285821998670595</v>
      </c>
      <c r="U567" s="24" t="str" cm="1">
        <f t="array" ref="U567">_xlfn.IFS(T567&lt;1,"underpaid",T567&gt;1,"overpaid",T567=1,"median pay")</f>
        <v>underpaid</v>
      </c>
      <c r="V567" s="5"/>
    </row>
    <row r="568" spans="1:22" x14ac:dyDescent="0.3">
      <c r="A568" s="21" t="s">
        <v>579</v>
      </c>
      <c r="B568" s="8" t="s">
        <v>1578</v>
      </c>
      <c r="C568" s="8" t="s">
        <v>2011</v>
      </c>
      <c r="D568" s="9">
        <v>43524</v>
      </c>
      <c r="E568" s="10">
        <f t="shared" si="80"/>
        <v>619668</v>
      </c>
      <c r="F568" s="8">
        <v>44935</v>
      </c>
      <c r="G568" s="8">
        <v>6704</v>
      </c>
      <c r="H568" s="11">
        <f t="shared" si="81"/>
        <v>22467.5</v>
      </c>
      <c r="I568" s="11">
        <f t="shared" si="82"/>
        <v>8987</v>
      </c>
      <c r="J568" s="11">
        <f t="shared" si="83"/>
        <v>13480.5</v>
      </c>
      <c r="K568" s="11">
        <f t="shared" si="84"/>
        <v>2696.1</v>
      </c>
      <c r="L568" s="8">
        <v>200</v>
      </c>
      <c r="M568" s="8">
        <f t="shared" si="85"/>
        <v>208</v>
      </c>
      <c r="N568" s="11">
        <v>2</v>
      </c>
      <c r="O568" s="11">
        <f t="shared" si="86"/>
        <v>108.01682692307692</v>
      </c>
      <c r="P568" s="11">
        <f t="shared" si="87"/>
        <v>216.03365384615384</v>
      </c>
      <c r="Q568" s="11">
        <f t="shared" si="88"/>
        <v>432.06730769230768</v>
      </c>
      <c r="R568" s="8">
        <v>48743</v>
      </c>
      <c r="S568" s="11">
        <f t="shared" si="89"/>
        <v>55447</v>
      </c>
      <c r="T568" s="20">
        <f>S568/median_percentile!$B$1</f>
        <v>1.100171632092225</v>
      </c>
      <c r="U568" s="24" t="str" cm="1">
        <f t="array" ref="U568">_xlfn.IFS(T568&lt;1,"underpaid",T568&gt;1,"overpaid",T568=1,"median pay")</f>
        <v>overpaid</v>
      </c>
      <c r="V568" s="5"/>
    </row>
    <row r="569" spans="1:22" x14ac:dyDescent="0.3">
      <c r="A569" s="22" t="s">
        <v>580</v>
      </c>
      <c r="B569" s="12" t="s">
        <v>1579</v>
      </c>
      <c r="C569" s="12" t="s">
        <v>2015</v>
      </c>
      <c r="D569" s="13">
        <v>44683</v>
      </c>
      <c r="E569" s="14">
        <f t="shared" si="80"/>
        <v>643968</v>
      </c>
      <c r="F569" s="12">
        <v>47370</v>
      </c>
      <c r="G569" s="12">
        <v>6294</v>
      </c>
      <c r="H569" s="15">
        <f t="shared" si="81"/>
        <v>23685</v>
      </c>
      <c r="I569" s="15">
        <f t="shared" si="82"/>
        <v>9474</v>
      </c>
      <c r="J569" s="15">
        <f t="shared" si="83"/>
        <v>14211</v>
      </c>
      <c r="K569" s="15">
        <f t="shared" si="84"/>
        <v>2842.2</v>
      </c>
      <c r="L569" s="12">
        <v>200</v>
      </c>
      <c r="M569" s="12">
        <f t="shared" si="85"/>
        <v>208</v>
      </c>
      <c r="N569" s="15">
        <v>1</v>
      </c>
      <c r="O569" s="15">
        <f t="shared" si="86"/>
        <v>113.87019230769231</v>
      </c>
      <c r="P569" s="15">
        <f t="shared" si="87"/>
        <v>227.74038461538461</v>
      </c>
      <c r="Q569" s="15">
        <f t="shared" si="88"/>
        <v>227.74038461538461</v>
      </c>
      <c r="R569" s="12">
        <v>50622</v>
      </c>
      <c r="S569" s="15">
        <f t="shared" si="89"/>
        <v>56916</v>
      </c>
      <c r="T569" s="20">
        <f>S569/median_percentile!$B$1</f>
        <v>1.1293193249799101</v>
      </c>
      <c r="U569" s="24" t="str" cm="1">
        <f t="array" ref="U569">_xlfn.IFS(T569&lt;1,"underpaid",T569&gt;1,"overpaid",T569=1,"median pay")</f>
        <v>overpaid</v>
      </c>
      <c r="V569" s="5"/>
    </row>
    <row r="570" spans="1:22" x14ac:dyDescent="0.3">
      <c r="A570" s="21" t="s">
        <v>581</v>
      </c>
      <c r="B570" s="8" t="s">
        <v>1580</v>
      </c>
      <c r="C570" s="8" t="s">
        <v>2016</v>
      </c>
      <c r="D570" s="9">
        <v>44680</v>
      </c>
      <c r="E570" s="10">
        <f t="shared" si="80"/>
        <v>517068</v>
      </c>
      <c r="F570" s="8">
        <v>37499</v>
      </c>
      <c r="G570" s="8">
        <v>5590</v>
      </c>
      <c r="H570" s="11">
        <f t="shared" si="81"/>
        <v>18749.5</v>
      </c>
      <c r="I570" s="11">
        <f t="shared" si="82"/>
        <v>7499.8</v>
      </c>
      <c r="J570" s="11">
        <f t="shared" si="83"/>
        <v>11249.7</v>
      </c>
      <c r="K570" s="11">
        <f t="shared" si="84"/>
        <v>2249.94</v>
      </c>
      <c r="L570" s="8">
        <v>200</v>
      </c>
      <c r="M570" s="8">
        <f t="shared" si="85"/>
        <v>208</v>
      </c>
      <c r="N570" s="11">
        <v>5</v>
      </c>
      <c r="O570" s="11">
        <f t="shared" si="86"/>
        <v>90.14182692307692</v>
      </c>
      <c r="P570" s="11">
        <f t="shared" si="87"/>
        <v>180.28365384615384</v>
      </c>
      <c r="Q570" s="11">
        <f t="shared" si="88"/>
        <v>901.41826923076917</v>
      </c>
      <c r="R570" s="8">
        <v>40952</v>
      </c>
      <c r="S570" s="11">
        <f t="shared" si="89"/>
        <v>46542</v>
      </c>
      <c r="T570" s="20">
        <f>S570/median_percentile!$B$1</f>
        <v>0.92347986547218663</v>
      </c>
      <c r="U570" s="24" t="str" cm="1">
        <f t="array" ref="U570">_xlfn.IFS(T570&lt;1,"underpaid",T570&gt;1,"overpaid",T570=1,"median pay")</f>
        <v>underpaid</v>
      </c>
      <c r="V570" s="5"/>
    </row>
    <row r="571" spans="1:22" x14ac:dyDescent="0.3">
      <c r="A571" s="22" t="s">
        <v>582</v>
      </c>
      <c r="B571" s="12" t="s">
        <v>1581</v>
      </c>
      <c r="C571" s="12" t="s">
        <v>2016</v>
      </c>
      <c r="D571" s="13">
        <v>45797</v>
      </c>
      <c r="E571" s="14">
        <f t="shared" si="80"/>
        <v>369264</v>
      </c>
      <c r="F571" s="12">
        <v>25788</v>
      </c>
      <c r="G571" s="12">
        <v>4984</v>
      </c>
      <c r="H571" s="15">
        <f t="shared" si="81"/>
        <v>12894</v>
      </c>
      <c r="I571" s="15">
        <f t="shared" si="82"/>
        <v>5157.6000000000004</v>
      </c>
      <c r="J571" s="15">
        <f t="shared" si="83"/>
        <v>7736.4000000000015</v>
      </c>
      <c r="K571" s="15">
        <f t="shared" si="84"/>
        <v>1547.28</v>
      </c>
      <c r="L571" s="12">
        <v>200</v>
      </c>
      <c r="M571" s="12">
        <f t="shared" si="85"/>
        <v>208</v>
      </c>
      <c r="N571" s="15">
        <v>4</v>
      </c>
      <c r="O571" s="15">
        <f t="shared" si="86"/>
        <v>61.990384615384613</v>
      </c>
      <c r="P571" s="15">
        <f t="shared" si="87"/>
        <v>123.98076923076923</v>
      </c>
      <c r="Q571" s="15">
        <f t="shared" si="88"/>
        <v>495.92307692307691</v>
      </c>
      <c r="R571" s="12">
        <v>29025</v>
      </c>
      <c r="S571" s="15">
        <f t="shared" si="89"/>
        <v>34009</v>
      </c>
      <c r="T571" s="20">
        <f>S571/median_percentile!$B$1</f>
        <v>0.67480182941952638</v>
      </c>
      <c r="U571" s="24" t="str" cm="1">
        <f t="array" ref="U571">_xlfn.IFS(T571&lt;1,"underpaid",T571&gt;1,"overpaid",T571=1,"median pay")</f>
        <v>underpaid</v>
      </c>
      <c r="V571" s="5"/>
    </row>
    <row r="572" spans="1:22" x14ac:dyDescent="0.3">
      <c r="A572" s="21" t="s">
        <v>583</v>
      </c>
      <c r="B572" s="8" t="s">
        <v>1582</v>
      </c>
      <c r="C572" s="8" t="s">
        <v>2011</v>
      </c>
      <c r="D572" s="9">
        <v>45377</v>
      </c>
      <c r="E572" s="10">
        <f t="shared" si="80"/>
        <v>335520</v>
      </c>
      <c r="F572" s="8">
        <v>24804</v>
      </c>
      <c r="G572" s="8">
        <v>3156</v>
      </c>
      <c r="H572" s="11">
        <f t="shared" si="81"/>
        <v>12402</v>
      </c>
      <c r="I572" s="11">
        <f t="shared" si="82"/>
        <v>4960.8</v>
      </c>
      <c r="J572" s="11">
        <f t="shared" si="83"/>
        <v>7441.2000000000007</v>
      </c>
      <c r="K572" s="11">
        <f t="shared" si="84"/>
        <v>1488.24</v>
      </c>
      <c r="L572" s="8">
        <v>200</v>
      </c>
      <c r="M572" s="8">
        <f t="shared" si="85"/>
        <v>208</v>
      </c>
      <c r="N572" s="11">
        <v>0</v>
      </c>
      <c r="O572" s="11">
        <f t="shared" si="86"/>
        <v>59.625</v>
      </c>
      <c r="P572" s="11">
        <f t="shared" si="87"/>
        <v>119.25</v>
      </c>
      <c r="Q572" s="11">
        <f t="shared" si="88"/>
        <v>0</v>
      </c>
      <c r="R572" s="8">
        <v>26685</v>
      </c>
      <c r="S572" s="11">
        <f t="shared" si="89"/>
        <v>29841</v>
      </c>
      <c r="T572" s="20">
        <f>S572/median_percentile!$B$1</f>
        <v>0.59210095538557694</v>
      </c>
      <c r="U572" s="24" t="str" cm="1">
        <f t="array" ref="U572">_xlfn.IFS(T572&lt;1,"underpaid",T572&gt;1,"overpaid",T572=1,"median pay")</f>
        <v>underpaid</v>
      </c>
      <c r="V572" s="5"/>
    </row>
    <row r="573" spans="1:22" x14ac:dyDescent="0.3">
      <c r="A573" s="22" t="s">
        <v>584</v>
      </c>
      <c r="B573" s="12" t="s">
        <v>1583</v>
      </c>
      <c r="C573" s="12" t="s">
        <v>2011</v>
      </c>
      <c r="D573" s="13">
        <v>45116</v>
      </c>
      <c r="E573" s="14">
        <f t="shared" si="80"/>
        <v>314568</v>
      </c>
      <c r="F573" s="12">
        <v>23438</v>
      </c>
      <c r="G573" s="12">
        <v>2776</v>
      </c>
      <c r="H573" s="15">
        <f t="shared" si="81"/>
        <v>11719</v>
      </c>
      <c r="I573" s="15">
        <f t="shared" si="82"/>
        <v>4687.6000000000004</v>
      </c>
      <c r="J573" s="15">
        <f t="shared" si="83"/>
        <v>7031.4000000000015</v>
      </c>
      <c r="K573" s="15">
        <f t="shared" si="84"/>
        <v>1406.28</v>
      </c>
      <c r="L573" s="12">
        <v>200</v>
      </c>
      <c r="M573" s="12">
        <f t="shared" si="85"/>
        <v>208</v>
      </c>
      <c r="N573" s="15">
        <v>4</v>
      </c>
      <c r="O573" s="15">
        <f t="shared" si="86"/>
        <v>56.341346153846153</v>
      </c>
      <c r="P573" s="15">
        <f t="shared" si="87"/>
        <v>112.68269230769231</v>
      </c>
      <c r="Q573" s="15">
        <f t="shared" si="88"/>
        <v>450.73076923076923</v>
      </c>
      <c r="R573" s="12">
        <v>24608</v>
      </c>
      <c r="S573" s="15">
        <f t="shared" si="89"/>
        <v>27384</v>
      </c>
      <c r="T573" s="20">
        <f>S573/median_percentile!$B$1</f>
        <v>0.54334950444953722</v>
      </c>
      <c r="U573" s="24" t="str" cm="1">
        <f t="array" ref="U573">_xlfn.IFS(T573&lt;1,"underpaid",T573&gt;1,"overpaid",T573=1,"median pay")</f>
        <v>underpaid</v>
      </c>
      <c r="V573" s="5"/>
    </row>
    <row r="574" spans="1:22" x14ac:dyDescent="0.3">
      <c r="A574" s="21" t="s">
        <v>585</v>
      </c>
      <c r="B574" s="8" t="s">
        <v>1584</v>
      </c>
      <c r="C574" s="8" t="s">
        <v>2015</v>
      </c>
      <c r="D574" s="9">
        <v>45229</v>
      </c>
      <c r="E574" s="10">
        <f t="shared" si="80"/>
        <v>585240</v>
      </c>
      <c r="F574" s="8">
        <v>41710</v>
      </c>
      <c r="G574" s="8">
        <v>7060</v>
      </c>
      <c r="H574" s="11">
        <f t="shared" si="81"/>
        <v>20855</v>
      </c>
      <c r="I574" s="11">
        <f t="shared" si="82"/>
        <v>8342</v>
      </c>
      <c r="J574" s="11">
        <f t="shared" si="83"/>
        <v>12513</v>
      </c>
      <c r="K574" s="11">
        <f t="shared" si="84"/>
        <v>2502.6</v>
      </c>
      <c r="L574" s="8">
        <v>200</v>
      </c>
      <c r="M574" s="8">
        <f t="shared" si="85"/>
        <v>208</v>
      </c>
      <c r="N574" s="11">
        <v>2</v>
      </c>
      <c r="O574" s="11">
        <f t="shared" si="86"/>
        <v>100.26442307692308</v>
      </c>
      <c r="P574" s="11">
        <f t="shared" si="87"/>
        <v>200.52884615384616</v>
      </c>
      <c r="Q574" s="11">
        <f t="shared" si="88"/>
        <v>401.05769230769232</v>
      </c>
      <c r="R574" s="8">
        <v>46763</v>
      </c>
      <c r="S574" s="11">
        <f t="shared" si="89"/>
        <v>53823</v>
      </c>
      <c r="T574" s="20">
        <f>S574/median_percentile!$B$1</f>
        <v>1.0679484508467514</v>
      </c>
      <c r="U574" s="24" t="str" cm="1">
        <f t="array" ref="U574">_xlfn.IFS(T574&lt;1,"underpaid",T574&gt;1,"overpaid",T574=1,"median pay")</f>
        <v>overpaid</v>
      </c>
      <c r="V574" s="5"/>
    </row>
    <row r="575" spans="1:22" x14ac:dyDescent="0.3">
      <c r="A575" s="22" t="s">
        <v>586</v>
      </c>
      <c r="B575" s="12" t="s">
        <v>1585</v>
      </c>
      <c r="C575" s="12" t="s">
        <v>2015</v>
      </c>
      <c r="D575" s="13">
        <v>45958</v>
      </c>
      <c r="E575" s="14">
        <f t="shared" si="80"/>
        <v>630624</v>
      </c>
      <c r="F575" s="12">
        <v>47151</v>
      </c>
      <c r="G575" s="12">
        <v>5401</v>
      </c>
      <c r="H575" s="15">
        <f t="shared" si="81"/>
        <v>23575.5</v>
      </c>
      <c r="I575" s="15">
        <f t="shared" si="82"/>
        <v>9430.2000000000007</v>
      </c>
      <c r="J575" s="15">
        <f t="shared" si="83"/>
        <v>14145.300000000003</v>
      </c>
      <c r="K575" s="15">
        <f t="shared" si="84"/>
        <v>2829.06</v>
      </c>
      <c r="L575" s="12">
        <v>200</v>
      </c>
      <c r="M575" s="12">
        <f t="shared" si="85"/>
        <v>208</v>
      </c>
      <c r="N575" s="15">
        <v>5</v>
      </c>
      <c r="O575" s="15">
        <f t="shared" si="86"/>
        <v>113.34375</v>
      </c>
      <c r="P575" s="15">
        <f t="shared" si="87"/>
        <v>226.6875</v>
      </c>
      <c r="Q575" s="15">
        <f t="shared" si="88"/>
        <v>1133.4375</v>
      </c>
      <c r="R575" s="12">
        <v>49523</v>
      </c>
      <c r="S575" s="15">
        <f t="shared" si="89"/>
        <v>54924</v>
      </c>
      <c r="T575" s="20">
        <f>S575/median_percentile!$B$1</f>
        <v>1.0897943391172356</v>
      </c>
      <c r="U575" s="24" t="str" cm="1">
        <f t="array" ref="U575">_xlfn.IFS(T575&lt;1,"underpaid",T575&gt;1,"overpaid",T575=1,"median pay")</f>
        <v>overpaid</v>
      </c>
      <c r="V575" s="5"/>
    </row>
    <row r="576" spans="1:22" x14ac:dyDescent="0.3">
      <c r="A576" s="21" t="s">
        <v>587</v>
      </c>
      <c r="B576" s="8" t="s">
        <v>1586</v>
      </c>
      <c r="C576" s="8" t="s">
        <v>2011</v>
      </c>
      <c r="D576" s="9">
        <v>45340</v>
      </c>
      <c r="E576" s="10">
        <f t="shared" si="80"/>
        <v>481944</v>
      </c>
      <c r="F576" s="8">
        <v>36054</v>
      </c>
      <c r="G576" s="8">
        <v>4108</v>
      </c>
      <c r="H576" s="11">
        <f t="shared" si="81"/>
        <v>18027</v>
      </c>
      <c r="I576" s="11">
        <f t="shared" si="82"/>
        <v>7210.8</v>
      </c>
      <c r="J576" s="11">
        <f t="shared" si="83"/>
        <v>10816.2</v>
      </c>
      <c r="K576" s="11">
        <f t="shared" si="84"/>
        <v>2163.2399999999998</v>
      </c>
      <c r="L576" s="8">
        <v>200</v>
      </c>
      <c r="M576" s="8">
        <f t="shared" si="85"/>
        <v>208</v>
      </c>
      <c r="N576" s="11">
        <v>2</v>
      </c>
      <c r="O576" s="11">
        <f t="shared" si="86"/>
        <v>86.668269230769226</v>
      </c>
      <c r="P576" s="11">
        <f t="shared" si="87"/>
        <v>173.33653846153845</v>
      </c>
      <c r="Q576" s="11">
        <f t="shared" si="88"/>
        <v>346.67307692307691</v>
      </c>
      <c r="R576" s="8">
        <v>38399</v>
      </c>
      <c r="S576" s="11">
        <f t="shared" si="89"/>
        <v>42507</v>
      </c>
      <c r="T576" s="20">
        <f>S576/median_percentile!$B$1</f>
        <v>0.84341795886782345</v>
      </c>
      <c r="U576" s="24" t="str" cm="1">
        <f t="array" ref="U576">_xlfn.IFS(T576&lt;1,"underpaid",T576&gt;1,"overpaid",T576=1,"median pay")</f>
        <v>underpaid</v>
      </c>
      <c r="V576" s="5"/>
    </row>
    <row r="577" spans="1:22" x14ac:dyDescent="0.3">
      <c r="A577" s="22" t="s">
        <v>588</v>
      </c>
      <c r="B577" s="12" t="s">
        <v>1587</v>
      </c>
      <c r="C577" s="12" t="s">
        <v>2015</v>
      </c>
      <c r="D577" s="13">
        <v>45156</v>
      </c>
      <c r="E577" s="14">
        <f t="shared" si="80"/>
        <v>621456</v>
      </c>
      <c r="F577" s="12">
        <v>44085</v>
      </c>
      <c r="G577" s="12">
        <v>7703</v>
      </c>
      <c r="H577" s="15">
        <f t="shared" si="81"/>
        <v>22042.5</v>
      </c>
      <c r="I577" s="15">
        <f t="shared" si="82"/>
        <v>8817</v>
      </c>
      <c r="J577" s="15">
        <f t="shared" si="83"/>
        <v>13225.5</v>
      </c>
      <c r="K577" s="15">
        <f t="shared" si="84"/>
        <v>2645.1</v>
      </c>
      <c r="L577" s="12">
        <v>200</v>
      </c>
      <c r="M577" s="12">
        <f t="shared" si="85"/>
        <v>208</v>
      </c>
      <c r="N577" s="15">
        <v>1</v>
      </c>
      <c r="O577" s="15">
        <f t="shared" si="86"/>
        <v>105.97355769230769</v>
      </c>
      <c r="P577" s="15">
        <f t="shared" si="87"/>
        <v>211.94711538461539</v>
      </c>
      <c r="Q577" s="15">
        <f t="shared" si="88"/>
        <v>211.94711538461539</v>
      </c>
      <c r="R577" s="12">
        <v>48943</v>
      </c>
      <c r="S577" s="15">
        <f t="shared" si="89"/>
        <v>56646</v>
      </c>
      <c r="T577" s="20">
        <f>S577/median_percentile!$B$1</f>
        <v>1.1239620226792464</v>
      </c>
      <c r="U577" s="24" t="str" cm="1">
        <f t="array" ref="U577">_xlfn.IFS(T577&lt;1,"underpaid",T577&gt;1,"overpaid",T577=1,"median pay")</f>
        <v>overpaid</v>
      </c>
      <c r="V577" s="5"/>
    </row>
    <row r="578" spans="1:22" x14ac:dyDescent="0.3">
      <c r="A578" s="21" t="s">
        <v>589</v>
      </c>
      <c r="B578" s="8" t="s">
        <v>1588</v>
      </c>
      <c r="C578" s="8" t="s">
        <v>2011</v>
      </c>
      <c r="D578" s="9">
        <v>43577</v>
      </c>
      <c r="E578" s="10">
        <f t="shared" ref="E578:E641" si="90">(F578*12)+(G578*12)</f>
        <v>562812</v>
      </c>
      <c r="F578" s="8">
        <v>39529</v>
      </c>
      <c r="G578" s="8">
        <v>7372</v>
      </c>
      <c r="H578" s="11">
        <f t="shared" ref="H578:H641" si="91">F578*50%</f>
        <v>19764.5</v>
      </c>
      <c r="I578" s="11">
        <f t="shared" ref="I578:I641" si="92">H578*40%</f>
        <v>7905.8</v>
      </c>
      <c r="J578" s="11">
        <f t="shared" ref="J578:J641" si="93">F578-(H578+I578)</f>
        <v>11858.7</v>
      </c>
      <c r="K578" s="11">
        <f t="shared" ref="K578:K641" si="94">H578*12%</f>
        <v>2371.7399999999998</v>
      </c>
      <c r="L578" s="8">
        <v>200</v>
      </c>
      <c r="M578" s="8">
        <f t="shared" si="85"/>
        <v>208</v>
      </c>
      <c r="N578" s="11">
        <v>1</v>
      </c>
      <c r="O578" s="11">
        <f t="shared" si="86"/>
        <v>95.021634615384613</v>
      </c>
      <c r="P578" s="11">
        <f t="shared" si="87"/>
        <v>190.04326923076923</v>
      </c>
      <c r="Q578" s="11">
        <f t="shared" si="88"/>
        <v>190.04326923076923</v>
      </c>
      <c r="R578" s="8">
        <v>44988</v>
      </c>
      <c r="S578" s="11">
        <f t="shared" si="89"/>
        <v>52360</v>
      </c>
      <c r="T578" s="20">
        <f>S578/median_percentile!$B$1</f>
        <v>1.0389198091213032</v>
      </c>
      <c r="U578" s="24" t="str" cm="1">
        <f t="array" ref="U578">_xlfn.IFS(T578&lt;1,"underpaid",T578&gt;1,"overpaid",T578=1,"median pay")</f>
        <v>overpaid</v>
      </c>
      <c r="V578" s="5"/>
    </row>
    <row r="579" spans="1:22" x14ac:dyDescent="0.3">
      <c r="A579" s="22" t="s">
        <v>590</v>
      </c>
      <c r="B579" s="12" t="s">
        <v>1589</v>
      </c>
      <c r="C579" s="12" t="s">
        <v>2015</v>
      </c>
      <c r="D579" s="13">
        <v>43845</v>
      </c>
      <c r="E579" s="14">
        <f t="shared" si="90"/>
        <v>358440</v>
      </c>
      <c r="F579" s="12">
        <v>25029</v>
      </c>
      <c r="G579" s="12">
        <v>4841</v>
      </c>
      <c r="H579" s="15">
        <f t="shared" si="91"/>
        <v>12514.5</v>
      </c>
      <c r="I579" s="15">
        <f t="shared" si="92"/>
        <v>5005.8</v>
      </c>
      <c r="J579" s="15">
        <f t="shared" si="93"/>
        <v>7508.7000000000007</v>
      </c>
      <c r="K579" s="15">
        <f t="shared" si="94"/>
        <v>1501.74</v>
      </c>
      <c r="L579" s="12">
        <v>200</v>
      </c>
      <c r="M579" s="12">
        <f t="shared" ref="M579:M642" si="95">8*26</f>
        <v>208</v>
      </c>
      <c r="N579" s="15">
        <v>2</v>
      </c>
      <c r="O579" s="15">
        <f t="shared" ref="O579:O642" si="96">H579/M579</f>
        <v>60.165865384615387</v>
      </c>
      <c r="P579" s="15">
        <f t="shared" ref="P579:P642" si="97">O579*2</f>
        <v>120.33173076923077</v>
      </c>
      <c r="Q579" s="15">
        <f t="shared" ref="Q579:Q642" si="98">P579*N579</f>
        <v>240.66346153846155</v>
      </c>
      <c r="R579" s="12">
        <v>28377</v>
      </c>
      <c r="S579" s="15">
        <f t="shared" ref="S579:T642" si="99">R579+G579</f>
        <v>33218</v>
      </c>
      <c r="T579" s="20">
        <f>S579/median_percentile!$B$1</f>
        <v>0.65910691786461895</v>
      </c>
      <c r="U579" s="24" t="str" cm="1">
        <f t="array" ref="U579">_xlfn.IFS(T579&lt;1,"underpaid",T579&gt;1,"overpaid",T579=1,"median pay")</f>
        <v>underpaid</v>
      </c>
      <c r="V579" s="5"/>
    </row>
    <row r="580" spans="1:22" x14ac:dyDescent="0.3">
      <c r="A580" s="21" t="s">
        <v>591</v>
      </c>
      <c r="B580" s="8" t="s">
        <v>1590</v>
      </c>
      <c r="C580" s="8" t="s">
        <v>2011</v>
      </c>
      <c r="D580" s="9">
        <v>44396</v>
      </c>
      <c r="E580" s="10">
        <f t="shared" si="90"/>
        <v>425808</v>
      </c>
      <c r="F580" s="8">
        <v>31839</v>
      </c>
      <c r="G580" s="8">
        <v>3645</v>
      </c>
      <c r="H580" s="11">
        <f t="shared" si="91"/>
        <v>15919.5</v>
      </c>
      <c r="I580" s="11">
        <f t="shared" si="92"/>
        <v>6367.8</v>
      </c>
      <c r="J580" s="11">
        <f t="shared" si="93"/>
        <v>9551.7000000000007</v>
      </c>
      <c r="K580" s="11">
        <f t="shared" si="94"/>
        <v>1910.34</v>
      </c>
      <c r="L580" s="8">
        <v>200</v>
      </c>
      <c r="M580" s="8">
        <f t="shared" si="95"/>
        <v>208</v>
      </c>
      <c r="N580" s="11">
        <v>4</v>
      </c>
      <c r="O580" s="11">
        <f t="shared" si="96"/>
        <v>76.536057692307693</v>
      </c>
      <c r="P580" s="11">
        <f t="shared" si="97"/>
        <v>153.07211538461539</v>
      </c>
      <c r="Q580" s="11">
        <f t="shared" si="98"/>
        <v>612.28846153846155</v>
      </c>
      <c r="R580" s="8">
        <v>33374</v>
      </c>
      <c r="S580" s="11">
        <f t="shared" si="99"/>
        <v>37019</v>
      </c>
      <c r="T580" s="20">
        <f>S580/median_percentile!$B$1</f>
        <v>0.73452582914174036</v>
      </c>
      <c r="U580" s="24" t="str" cm="1">
        <f t="array" ref="U580">_xlfn.IFS(T580&lt;1,"underpaid",T580&gt;1,"overpaid",T580=1,"median pay")</f>
        <v>underpaid</v>
      </c>
      <c r="V580" s="5"/>
    </row>
    <row r="581" spans="1:22" x14ac:dyDescent="0.3">
      <c r="A581" s="22" t="s">
        <v>592</v>
      </c>
      <c r="B581" s="12" t="s">
        <v>1591</v>
      </c>
      <c r="C581" s="12" t="s">
        <v>2014</v>
      </c>
      <c r="D581" s="13">
        <v>43973</v>
      </c>
      <c r="E581" s="14">
        <f t="shared" si="90"/>
        <v>945888</v>
      </c>
      <c r="F581" s="12">
        <v>67298</v>
      </c>
      <c r="G581" s="12">
        <v>11526</v>
      </c>
      <c r="H581" s="15">
        <f t="shared" si="91"/>
        <v>33649</v>
      </c>
      <c r="I581" s="15">
        <f t="shared" si="92"/>
        <v>13459.6</v>
      </c>
      <c r="J581" s="15">
        <f t="shared" si="93"/>
        <v>20189.400000000001</v>
      </c>
      <c r="K581" s="15">
        <f t="shared" si="94"/>
        <v>4037.8799999999997</v>
      </c>
      <c r="L581" s="12">
        <v>200</v>
      </c>
      <c r="M581" s="12">
        <f t="shared" si="95"/>
        <v>208</v>
      </c>
      <c r="N581" s="15">
        <v>1</v>
      </c>
      <c r="O581" s="15">
        <f t="shared" si="96"/>
        <v>161.77403846153845</v>
      </c>
      <c r="P581" s="15">
        <f t="shared" si="97"/>
        <v>323.54807692307691</v>
      </c>
      <c r="Q581" s="15">
        <f t="shared" si="98"/>
        <v>323.54807692307691</v>
      </c>
      <c r="R581" s="12">
        <v>74587</v>
      </c>
      <c r="S581" s="15">
        <f t="shared" si="99"/>
        <v>86113</v>
      </c>
      <c r="T581" s="20">
        <f>S581/median_percentile!$B$1</f>
        <v>1.7086421222853854</v>
      </c>
      <c r="U581" s="24" t="str" cm="1">
        <f t="array" ref="U581">_xlfn.IFS(T581&lt;1,"underpaid",T581&gt;1,"overpaid",T581=1,"median pay")</f>
        <v>overpaid</v>
      </c>
      <c r="V581" s="5"/>
    </row>
    <row r="582" spans="1:22" x14ac:dyDescent="0.3">
      <c r="A582" s="21" t="s">
        <v>593</v>
      </c>
      <c r="B582" s="8" t="s">
        <v>1592</v>
      </c>
      <c r="C582" s="8" t="s">
        <v>2016</v>
      </c>
      <c r="D582" s="9">
        <v>44481</v>
      </c>
      <c r="E582" s="10">
        <f t="shared" si="90"/>
        <v>514764</v>
      </c>
      <c r="F582" s="8">
        <v>38015</v>
      </c>
      <c r="G582" s="8">
        <v>4882</v>
      </c>
      <c r="H582" s="11">
        <f t="shared" si="91"/>
        <v>19007.5</v>
      </c>
      <c r="I582" s="11">
        <f t="shared" si="92"/>
        <v>7603</v>
      </c>
      <c r="J582" s="11">
        <f t="shared" si="93"/>
        <v>11404.5</v>
      </c>
      <c r="K582" s="11">
        <f t="shared" si="94"/>
        <v>2280.9</v>
      </c>
      <c r="L582" s="8">
        <v>200</v>
      </c>
      <c r="M582" s="8">
        <f t="shared" si="95"/>
        <v>208</v>
      </c>
      <c r="N582" s="11">
        <v>3</v>
      </c>
      <c r="O582" s="11">
        <f t="shared" si="96"/>
        <v>91.382211538461533</v>
      </c>
      <c r="P582" s="11">
        <f t="shared" si="97"/>
        <v>182.76442307692307</v>
      </c>
      <c r="Q582" s="11">
        <f t="shared" si="98"/>
        <v>548.29326923076917</v>
      </c>
      <c r="R582" s="8">
        <v>40417</v>
      </c>
      <c r="S582" s="11">
        <f t="shared" si="99"/>
        <v>45299</v>
      </c>
      <c r="T582" s="20">
        <f>S582/median_percentile!$B$1</f>
        <v>0.8988164330287608</v>
      </c>
      <c r="U582" s="24" t="str" cm="1">
        <f t="array" ref="U582">_xlfn.IFS(T582&lt;1,"underpaid",T582&gt;1,"overpaid",T582=1,"median pay")</f>
        <v>underpaid</v>
      </c>
      <c r="V582" s="5"/>
    </row>
    <row r="583" spans="1:22" x14ac:dyDescent="0.3">
      <c r="A583" s="22" t="s">
        <v>594</v>
      </c>
      <c r="B583" s="12" t="s">
        <v>1593</v>
      </c>
      <c r="C583" s="12" t="s">
        <v>2014</v>
      </c>
      <c r="D583" s="13">
        <v>45138</v>
      </c>
      <c r="E583" s="14">
        <f t="shared" si="90"/>
        <v>619308</v>
      </c>
      <c r="F583" s="12">
        <v>46382</v>
      </c>
      <c r="G583" s="12">
        <v>5227</v>
      </c>
      <c r="H583" s="15">
        <f t="shared" si="91"/>
        <v>23191</v>
      </c>
      <c r="I583" s="15">
        <f t="shared" si="92"/>
        <v>9276.4</v>
      </c>
      <c r="J583" s="15">
        <f t="shared" si="93"/>
        <v>13914.599999999999</v>
      </c>
      <c r="K583" s="15">
        <f t="shared" si="94"/>
        <v>2782.92</v>
      </c>
      <c r="L583" s="12">
        <v>200</v>
      </c>
      <c r="M583" s="12">
        <f t="shared" si="95"/>
        <v>208</v>
      </c>
      <c r="N583" s="15">
        <v>0</v>
      </c>
      <c r="O583" s="15">
        <f t="shared" si="96"/>
        <v>111.49519230769231</v>
      </c>
      <c r="P583" s="15">
        <f t="shared" si="97"/>
        <v>222.99038461538461</v>
      </c>
      <c r="Q583" s="15">
        <f t="shared" si="98"/>
        <v>0</v>
      </c>
      <c r="R583" s="12">
        <v>48627</v>
      </c>
      <c r="S583" s="15">
        <f t="shared" si="99"/>
        <v>53854</v>
      </c>
      <c r="T583" s="20">
        <f>S583/median_percentile!$B$1</f>
        <v>1.0685635485183091</v>
      </c>
      <c r="U583" s="24" t="str" cm="1">
        <f t="array" ref="U583">_xlfn.IFS(T583&lt;1,"underpaid",T583&gt;1,"overpaid",T583=1,"median pay")</f>
        <v>overpaid</v>
      </c>
      <c r="V583" s="5"/>
    </row>
    <row r="584" spans="1:22" x14ac:dyDescent="0.3">
      <c r="A584" s="21" t="s">
        <v>595</v>
      </c>
      <c r="B584" s="8" t="s">
        <v>1594</v>
      </c>
      <c r="C584" s="8" t="s">
        <v>2013</v>
      </c>
      <c r="D584" s="9">
        <v>45818</v>
      </c>
      <c r="E584" s="10">
        <f t="shared" si="90"/>
        <v>896256</v>
      </c>
      <c r="F584" s="8">
        <v>63776</v>
      </c>
      <c r="G584" s="8">
        <v>10912</v>
      </c>
      <c r="H584" s="11">
        <f t="shared" si="91"/>
        <v>31888</v>
      </c>
      <c r="I584" s="11">
        <f t="shared" si="92"/>
        <v>12755.2</v>
      </c>
      <c r="J584" s="11">
        <f t="shared" si="93"/>
        <v>19132.800000000003</v>
      </c>
      <c r="K584" s="11">
        <f t="shared" si="94"/>
        <v>3826.56</v>
      </c>
      <c r="L584" s="8">
        <v>200</v>
      </c>
      <c r="M584" s="8">
        <f t="shared" si="95"/>
        <v>208</v>
      </c>
      <c r="N584" s="11">
        <v>2</v>
      </c>
      <c r="O584" s="11">
        <f t="shared" si="96"/>
        <v>153.30769230769232</v>
      </c>
      <c r="P584" s="11">
        <f t="shared" si="97"/>
        <v>306.61538461538464</v>
      </c>
      <c r="Q584" s="11">
        <f t="shared" si="98"/>
        <v>613.23076923076928</v>
      </c>
      <c r="R584" s="8">
        <v>70662</v>
      </c>
      <c r="S584" s="11">
        <f t="shared" si="99"/>
        <v>81574</v>
      </c>
      <c r="T584" s="20">
        <f>S584/median_percentile!$B$1</f>
        <v>1.6185799180531166</v>
      </c>
      <c r="U584" s="24" t="str" cm="1">
        <f t="array" ref="U584">_xlfn.IFS(T584&lt;1,"underpaid",T584&gt;1,"overpaid",T584=1,"median pay")</f>
        <v>overpaid</v>
      </c>
      <c r="V584" s="5"/>
    </row>
    <row r="585" spans="1:22" x14ac:dyDescent="0.3">
      <c r="A585" s="22" t="s">
        <v>596</v>
      </c>
      <c r="B585" s="12" t="s">
        <v>1595</v>
      </c>
      <c r="C585" s="12" t="s">
        <v>2013</v>
      </c>
      <c r="D585" s="13">
        <v>44054</v>
      </c>
      <c r="E585" s="14">
        <f t="shared" si="90"/>
        <v>833136</v>
      </c>
      <c r="F585" s="12">
        <v>60897</v>
      </c>
      <c r="G585" s="12">
        <v>8531</v>
      </c>
      <c r="H585" s="15">
        <f t="shared" si="91"/>
        <v>30448.5</v>
      </c>
      <c r="I585" s="15">
        <f t="shared" si="92"/>
        <v>12179.400000000001</v>
      </c>
      <c r="J585" s="15">
        <f t="shared" si="93"/>
        <v>18269.099999999999</v>
      </c>
      <c r="K585" s="15">
        <f t="shared" si="94"/>
        <v>3653.8199999999997</v>
      </c>
      <c r="L585" s="12">
        <v>200</v>
      </c>
      <c r="M585" s="12">
        <f t="shared" si="95"/>
        <v>208</v>
      </c>
      <c r="N585" s="15">
        <v>0</v>
      </c>
      <c r="O585" s="15">
        <f t="shared" si="96"/>
        <v>146.38701923076923</v>
      </c>
      <c r="P585" s="15">
        <f t="shared" si="97"/>
        <v>292.77403846153845</v>
      </c>
      <c r="Q585" s="15">
        <f t="shared" si="98"/>
        <v>0</v>
      </c>
      <c r="R585" s="12">
        <v>66589</v>
      </c>
      <c r="S585" s="15">
        <f t="shared" si="99"/>
        <v>75120</v>
      </c>
      <c r="T585" s="20">
        <f>S585/median_percentile!$B$1</f>
        <v>1.4905205512068811</v>
      </c>
      <c r="U585" s="24" t="str" cm="1">
        <f t="array" ref="U585">_xlfn.IFS(T585&lt;1,"underpaid",T585&gt;1,"overpaid",T585=1,"median pay")</f>
        <v>overpaid</v>
      </c>
      <c r="V585" s="5"/>
    </row>
    <row r="586" spans="1:22" x14ac:dyDescent="0.3">
      <c r="A586" s="21" t="s">
        <v>597</v>
      </c>
      <c r="B586" s="8" t="s">
        <v>1596</v>
      </c>
      <c r="C586" s="8" t="s">
        <v>2015</v>
      </c>
      <c r="D586" s="9">
        <v>43674</v>
      </c>
      <c r="E586" s="10">
        <f t="shared" si="90"/>
        <v>644352</v>
      </c>
      <c r="F586" s="8">
        <v>45357</v>
      </c>
      <c r="G586" s="8">
        <v>8339</v>
      </c>
      <c r="H586" s="11">
        <f t="shared" si="91"/>
        <v>22678.5</v>
      </c>
      <c r="I586" s="11">
        <f t="shared" si="92"/>
        <v>9071.4</v>
      </c>
      <c r="J586" s="11">
        <f t="shared" si="93"/>
        <v>13607.099999999999</v>
      </c>
      <c r="K586" s="11">
        <f t="shared" si="94"/>
        <v>2721.42</v>
      </c>
      <c r="L586" s="8">
        <v>200</v>
      </c>
      <c r="M586" s="8">
        <f t="shared" si="95"/>
        <v>208</v>
      </c>
      <c r="N586" s="11">
        <v>2</v>
      </c>
      <c r="O586" s="11">
        <f t="shared" si="96"/>
        <v>109.03125</v>
      </c>
      <c r="P586" s="11">
        <f t="shared" si="97"/>
        <v>218.0625</v>
      </c>
      <c r="Q586" s="11">
        <f t="shared" si="98"/>
        <v>436.125</v>
      </c>
      <c r="R586" s="8">
        <v>51152</v>
      </c>
      <c r="S586" s="11">
        <f t="shared" si="99"/>
        <v>59491</v>
      </c>
      <c r="T586" s="20">
        <f>S586/median_percentile!$B$1</f>
        <v>1.1804121154399436</v>
      </c>
      <c r="U586" s="24" t="str" cm="1">
        <f t="array" ref="U586">_xlfn.IFS(T586&lt;1,"underpaid",T586&gt;1,"overpaid",T586=1,"median pay")</f>
        <v>overpaid</v>
      </c>
      <c r="V586" s="5"/>
    </row>
    <row r="587" spans="1:22" x14ac:dyDescent="0.3">
      <c r="A587" s="22" t="s">
        <v>598</v>
      </c>
      <c r="B587" s="12" t="s">
        <v>1597</v>
      </c>
      <c r="C587" s="12" t="s">
        <v>2012</v>
      </c>
      <c r="D587" s="13">
        <v>44667</v>
      </c>
      <c r="E587" s="14">
        <f t="shared" si="90"/>
        <v>529848</v>
      </c>
      <c r="F587" s="12">
        <v>38269</v>
      </c>
      <c r="G587" s="12">
        <v>5885</v>
      </c>
      <c r="H587" s="15">
        <f t="shared" si="91"/>
        <v>19134.5</v>
      </c>
      <c r="I587" s="15">
        <f t="shared" si="92"/>
        <v>7653.8</v>
      </c>
      <c r="J587" s="15">
        <f t="shared" si="93"/>
        <v>11480.7</v>
      </c>
      <c r="K587" s="15">
        <f t="shared" si="94"/>
        <v>2296.14</v>
      </c>
      <c r="L587" s="12">
        <v>200</v>
      </c>
      <c r="M587" s="12">
        <f t="shared" si="95"/>
        <v>208</v>
      </c>
      <c r="N587" s="15">
        <v>2</v>
      </c>
      <c r="O587" s="15">
        <f t="shared" si="96"/>
        <v>91.992788461538467</v>
      </c>
      <c r="P587" s="15">
        <f t="shared" si="97"/>
        <v>183.98557692307693</v>
      </c>
      <c r="Q587" s="15">
        <f t="shared" si="98"/>
        <v>367.97115384615387</v>
      </c>
      <c r="R587" s="12">
        <v>41658</v>
      </c>
      <c r="S587" s="15">
        <f t="shared" si="99"/>
        <v>47543</v>
      </c>
      <c r="T587" s="20">
        <f>S587/median_percentile!$B$1</f>
        <v>0.94334156770538802</v>
      </c>
      <c r="U587" s="24" t="str" cm="1">
        <f t="array" ref="U587">_xlfn.IFS(T587&lt;1,"underpaid",T587&gt;1,"overpaid",T587=1,"median pay")</f>
        <v>underpaid</v>
      </c>
      <c r="V587" s="5"/>
    </row>
    <row r="588" spans="1:22" x14ac:dyDescent="0.3">
      <c r="A588" s="21" t="s">
        <v>599</v>
      </c>
      <c r="B588" s="8" t="s">
        <v>1598</v>
      </c>
      <c r="C588" s="8" t="s">
        <v>2014</v>
      </c>
      <c r="D588" s="9">
        <v>44036</v>
      </c>
      <c r="E588" s="10">
        <f t="shared" si="90"/>
        <v>581724</v>
      </c>
      <c r="F588" s="8">
        <v>40968</v>
      </c>
      <c r="G588" s="8">
        <v>7509</v>
      </c>
      <c r="H588" s="11">
        <f t="shared" si="91"/>
        <v>20484</v>
      </c>
      <c r="I588" s="11">
        <f t="shared" si="92"/>
        <v>8193.6</v>
      </c>
      <c r="J588" s="11">
        <f t="shared" si="93"/>
        <v>12290.400000000001</v>
      </c>
      <c r="K588" s="11">
        <f t="shared" si="94"/>
        <v>2458.08</v>
      </c>
      <c r="L588" s="8">
        <v>200</v>
      </c>
      <c r="M588" s="8">
        <f t="shared" si="95"/>
        <v>208</v>
      </c>
      <c r="N588" s="11">
        <v>4</v>
      </c>
      <c r="O588" s="11">
        <f t="shared" si="96"/>
        <v>98.480769230769226</v>
      </c>
      <c r="P588" s="11">
        <f t="shared" si="97"/>
        <v>196.96153846153845</v>
      </c>
      <c r="Q588" s="11">
        <f t="shared" si="98"/>
        <v>787.84615384615381</v>
      </c>
      <c r="R588" s="8">
        <v>45819</v>
      </c>
      <c r="S588" s="11">
        <f t="shared" si="99"/>
        <v>53328</v>
      </c>
      <c r="T588" s="20">
        <f>S588/median_percentile!$B$1</f>
        <v>1.0581267299622013</v>
      </c>
      <c r="U588" s="24" t="str" cm="1">
        <f t="array" ref="U588">_xlfn.IFS(T588&lt;1,"underpaid",T588&gt;1,"overpaid",T588=1,"median pay")</f>
        <v>overpaid</v>
      </c>
      <c r="V588" s="5"/>
    </row>
    <row r="589" spans="1:22" x14ac:dyDescent="0.3">
      <c r="A589" s="22" t="s">
        <v>600</v>
      </c>
      <c r="B589" s="12" t="s">
        <v>1599</v>
      </c>
      <c r="C589" s="12" t="s">
        <v>2013</v>
      </c>
      <c r="D589" s="13">
        <v>43495</v>
      </c>
      <c r="E589" s="14">
        <f t="shared" si="90"/>
        <v>639732</v>
      </c>
      <c r="F589" s="12">
        <v>48114</v>
      </c>
      <c r="G589" s="12">
        <v>5197</v>
      </c>
      <c r="H589" s="15">
        <f t="shared" si="91"/>
        <v>24057</v>
      </c>
      <c r="I589" s="15">
        <f t="shared" si="92"/>
        <v>9622.8000000000011</v>
      </c>
      <c r="J589" s="15">
        <f t="shared" si="93"/>
        <v>14434.199999999997</v>
      </c>
      <c r="K589" s="15">
        <f t="shared" si="94"/>
        <v>2886.8399999999997</v>
      </c>
      <c r="L589" s="12">
        <v>200</v>
      </c>
      <c r="M589" s="12">
        <f t="shared" si="95"/>
        <v>208</v>
      </c>
      <c r="N589" s="15">
        <v>2</v>
      </c>
      <c r="O589" s="15">
        <f t="shared" si="96"/>
        <v>115.65865384615384</v>
      </c>
      <c r="P589" s="15">
        <f t="shared" si="97"/>
        <v>231.31730769230768</v>
      </c>
      <c r="Q589" s="15">
        <f t="shared" si="98"/>
        <v>462.63461538461536</v>
      </c>
      <c r="R589" s="12">
        <v>50225</v>
      </c>
      <c r="S589" s="15">
        <f t="shared" si="99"/>
        <v>55422</v>
      </c>
      <c r="T589" s="20">
        <f>S589/median_percentile!$B$1</f>
        <v>1.0996755855829043</v>
      </c>
      <c r="U589" s="24" t="str" cm="1">
        <f t="array" ref="U589">_xlfn.IFS(T589&lt;1,"underpaid",T589&gt;1,"overpaid",T589=1,"median pay")</f>
        <v>overpaid</v>
      </c>
      <c r="V589" s="5"/>
    </row>
    <row r="590" spans="1:22" x14ac:dyDescent="0.3">
      <c r="A590" s="21" t="s">
        <v>601</v>
      </c>
      <c r="B590" s="8" t="s">
        <v>1600</v>
      </c>
      <c r="C590" s="8" t="s">
        <v>2013</v>
      </c>
      <c r="D590" s="9">
        <v>43790</v>
      </c>
      <c r="E590" s="10">
        <f t="shared" si="90"/>
        <v>820092</v>
      </c>
      <c r="F590" s="8">
        <v>58109</v>
      </c>
      <c r="G590" s="8">
        <v>10232</v>
      </c>
      <c r="H590" s="11">
        <f t="shared" si="91"/>
        <v>29054.5</v>
      </c>
      <c r="I590" s="11">
        <f t="shared" si="92"/>
        <v>11621.800000000001</v>
      </c>
      <c r="J590" s="11">
        <f t="shared" si="93"/>
        <v>17432.699999999997</v>
      </c>
      <c r="K590" s="11">
        <f t="shared" si="94"/>
        <v>3486.54</v>
      </c>
      <c r="L590" s="8">
        <v>200</v>
      </c>
      <c r="M590" s="8">
        <f t="shared" si="95"/>
        <v>208</v>
      </c>
      <c r="N590" s="11">
        <v>3</v>
      </c>
      <c r="O590" s="11">
        <f t="shared" si="96"/>
        <v>139.68509615384616</v>
      </c>
      <c r="P590" s="11">
        <f t="shared" si="97"/>
        <v>279.37019230769232</v>
      </c>
      <c r="Q590" s="11">
        <f t="shared" si="98"/>
        <v>838.11057692307691</v>
      </c>
      <c r="R590" s="8">
        <v>65139</v>
      </c>
      <c r="S590" s="11">
        <f t="shared" si="99"/>
        <v>75371</v>
      </c>
      <c r="T590" s="20">
        <f>S590/median_percentile!$B$1</f>
        <v>1.4955008581604612</v>
      </c>
      <c r="U590" s="24" t="str" cm="1">
        <f t="array" ref="U590">_xlfn.IFS(T590&lt;1,"underpaid",T590&gt;1,"overpaid",T590=1,"median pay")</f>
        <v>overpaid</v>
      </c>
      <c r="V590" s="5"/>
    </row>
    <row r="591" spans="1:22" x14ac:dyDescent="0.3">
      <c r="A591" s="22" t="s">
        <v>602</v>
      </c>
      <c r="B591" s="12" t="s">
        <v>1601</v>
      </c>
      <c r="C591" s="12" t="s">
        <v>2013</v>
      </c>
      <c r="D591" s="13">
        <v>45295</v>
      </c>
      <c r="E591" s="14">
        <f t="shared" si="90"/>
        <v>524004</v>
      </c>
      <c r="F591" s="12">
        <v>37640</v>
      </c>
      <c r="G591" s="12">
        <v>6027</v>
      </c>
      <c r="H591" s="15">
        <f t="shared" si="91"/>
        <v>18820</v>
      </c>
      <c r="I591" s="15">
        <f t="shared" si="92"/>
        <v>7528</v>
      </c>
      <c r="J591" s="15">
        <f t="shared" si="93"/>
        <v>11292</v>
      </c>
      <c r="K591" s="15">
        <f t="shared" si="94"/>
        <v>2258.4</v>
      </c>
      <c r="L591" s="12">
        <v>200</v>
      </c>
      <c r="M591" s="12">
        <f t="shared" si="95"/>
        <v>208</v>
      </c>
      <c r="N591" s="15">
        <v>5</v>
      </c>
      <c r="O591" s="15">
        <f t="shared" si="96"/>
        <v>90.480769230769226</v>
      </c>
      <c r="P591" s="15">
        <f t="shared" si="97"/>
        <v>180.96153846153845</v>
      </c>
      <c r="Q591" s="15">
        <f t="shared" si="98"/>
        <v>904.80769230769226</v>
      </c>
      <c r="R591" s="12">
        <v>41836</v>
      </c>
      <c r="S591" s="15">
        <f t="shared" si="99"/>
        <v>47863</v>
      </c>
      <c r="T591" s="20">
        <f>S591/median_percentile!$B$1</f>
        <v>0.94969096302469325</v>
      </c>
      <c r="U591" s="24" t="str" cm="1">
        <f t="array" ref="U591">_xlfn.IFS(T591&lt;1,"underpaid",T591&gt;1,"overpaid",T591=1,"median pay")</f>
        <v>underpaid</v>
      </c>
      <c r="V591" s="5"/>
    </row>
    <row r="592" spans="1:22" x14ac:dyDescent="0.3">
      <c r="A592" s="21" t="s">
        <v>603</v>
      </c>
      <c r="B592" s="8" t="s">
        <v>1602</v>
      </c>
      <c r="C592" s="8" t="s">
        <v>2011</v>
      </c>
      <c r="D592" s="9">
        <v>44448</v>
      </c>
      <c r="E592" s="10">
        <f t="shared" si="90"/>
        <v>337332</v>
      </c>
      <c r="F592" s="8">
        <v>25539</v>
      </c>
      <c r="G592" s="8">
        <v>2572</v>
      </c>
      <c r="H592" s="11">
        <f t="shared" si="91"/>
        <v>12769.5</v>
      </c>
      <c r="I592" s="11">
        <f t="shared" si="92"/>
        <v>5107.8</v>
      </c>
      <c r="J592" s="11">
        <f t="shared" si="93"/>
        <v>7661.7000000000007</v>
      </c>
      <c r="K592" s="11">
        <f t="shared" si="94"/>
        <v>1532.34</v>
      </c>
      <c r="L592" s="8">
        <v>200</v>
      </c>
      <c r="M592" s="8">
        <f t="shared" si="95"/>
        <v>208</v>
      </c>
      <c r="N592" s="11">
        <v>0</v>
      </c>
      <c r="O592" s="11">
        <f t="shared" si="96"/>
        <v>61.39182692307692</v>
      </c>
      <c r="P592" s="11">
        <f t="shared" si="97"/>
        <v>122.78365384615384</v>
      </c>
      <c r="Q592" s="11">
        <f t="shared" si="98"/>
        <v>0</v>
      </c>
      <c r="R592" s="8">
        <v>26804</v>
      </c>
      <c r="S592" s="11">
        <f t="shared" si="99"/>
        <v>29376</v>
      </c>
      <c r="T592" s="20">
        <f>S592/median_percentile!$B$1</f>
        <v>0.58287449031221172</v>
      </c>
      <c r="U592" s="24" t="str" cm="1">
        <f t="array" ref="U592">_xlfn.IFS(T592&lt;1,"underpaid",T592&gt;1,"overpaid",T592=1,"median pay")</f>
        <v>underpaid</v>
      </c>
      <c r="V592" s="5"/>
    </row>
    <row r="593" spans="1:22" x14ac:dyDescent="0.3">
      <c r="A593" s="22" t="s">
        <v>604</v>
      </c>
      <c r="B593" s="12" t="s">
        <v>1603</v>
      </c>
      <c r="C593" s="12" t="s">
        <v>2012</v>
      </c>
      <c r="D593" s="13">
        <v>44421</v>
      </c>
      <c r="E593" s="14">
        <f t="shared" si="90"/>
        <v>619740</v>
      </c>
      <c r="F593" s="12">
        <v>43327</v>
      </c>
      <c r="G593" s="12">
        <v>8318</v>
      </c>
      <c r="H593" s="15">
        <f t="shared" si="91"/>
        <v>21663.5</v>
      </c>
      <c r="I593" s="15">
        <f t="shared" si="92"/>
        <v>8665.4</v>
      </c>
      <c r="J593" s="15">
        <f t="shared" si="93"/>
        <v>12998.099999999999</v>
      </c>
      <c r="K593" s="15">
        <f t="shared" si="94"/>
        <v>2599.62</v>
      </c>
      <c r="L593" s="12">
        <v>200</v>
      </c>
      <c r="M593" s="12">
        <f t="shared" si="95"/>
        <v>208</v>
      </c>
      <c r="N593" s="15">
        <v>1</v>
      </c>
      <c r="O593" s="15">
        <f t="shared" si="96"/>
        <v>104.15144230769231</v>
      </c>
      <c r="P593" s="15">
        <f t="shared" si="97"/>
        <v>208.30288461538461</v>
      </c>
      <c r="Q593" s="15">
        <f t="shared" si="98"/>
        <v>208.30288461538461</v>
      </c>
      <c r="R593" s="12">
        <v>48846</v>
      </c>
      <c r="S593" s="15">
        <f t="shared" si="99"/>
        <v>57164</v>
      </c>
      <c r="T593" s="20">
        <f>S593/median_percentile!$B$1</f>
        <v>1.1342401063523715</v>
      </c>
      <c r="U593" s="24" t="str" cm="1">
        <f t="array" ref="U593">_xlfn.IFS(T593&lt;1,"underpaid",T593&gt;1,"overpaid",T593=1,"median pay")</f>
        <v>overpaid</v>
      </c>
      <c r="V593" s="5"/>
    </row>
    <row r="594" spans="1:22" x14ac:dyDescent="0.3">
      <c r="A594" s="21" t="s">
        <v>605</v>
      </c>
      <c r="B594" s="8" t="s">
        <v>1604</v>
      </c>
      <c r="C594" s="8" t="s">
        <v>2015</v>
      </c>
      <c r="D594" s="9">
        <v>44797</v>
      </c>
      <c r="E594" s="10">
        <f t="shared" si="90"/>
        <v>573312</v>
      </c>
      <c r="F594" s="8">
        <v>40205</v>
      </c>
      <c r="G594" s="8">
        <v>7571</v>
      </c>
      <c r="H594" s="11">
        <f t="shared" si="91"/>
        <v>20102.5</v>
      </c>
      <c r="I594" s="11">
        <f t="shared" si="92"/>
        <v>8041</v>
      </c>
      <c r="J594" s="11">
        <f t="shared" si="93"/>
        <v>12061.5</v>
      </c>
      <c r="K594" s="11">
        <f t="shared" si="94"/>
        <v>2412.2999999999997</v>
      </c>
      <c r="L594" s="8">
        <v>200</v>
      </c>
      <c r="M594" s="8">
        <f t="shared" si="95"/>
        <v>208</v>
      </c>
      <c r="N594" s="11">
        <v>5</v>
      </c>
      <c r="O594" s="11">
        <f t="shared" si="96"/>
        <v>96.646634615384613</v>
      </c>
      <c r="P594" s="11">
        <f t="shared" si="97"/>
        <v>193.29326923076923</v>
      </c>
      <c r="Q594" s="11">
        <f t="shared" si="98"/>
        <v>966.46634615384619</v>
      </c>
      <c r="R594" s="8">
        <v>45499</v>
      </c>
      <c r="S594" s="11">
        <f t="shared" si="99"/>
        <v>53070</v>
      </c>
      <c r="T594" s="20">
        <f>S594/median_percentile!$B$1</f>
        <v>1.0530075299860115</v>
      </c>
      <c r="U594" s="24" t="str" cm="1">
        <f t="array" ref="U594">_xlfn.IFS(T594&lt;1,"underpaid",T594&gt;1,"overpaid",T594=1,"median pay")</f>
        <v>overpaid</v>
      </c>
      <c r="V594" s="5"/>
    </row>
    <row r="595" spans="1:22" x14ac:dyDescent="0.3">
      <c r="A595" s="22" t="s">
        <v>606</v>
      </c>
      <c r="B595" s="12" t="s">
        <v>1605</v>
      </c>
      <c r="C595" s="12" t="s">
        <v>2012</v>
      </c>
      <c r="D595" s="13">
        <v>44710</v>
      </c>
      <c r="E595" s="14">
        <f t="shared" si="90"/>
        <v>623988</v>
      </c>
      <c r="F595" s="12">
        <v>43342</v>
      </c>
      <c r="G595" s="12">
        <v>8657</v>
      </c>
      <c r="H595" s="15">
        <f t="shared" si="91"/>
        <v>21671</v>
      </c>
      <c r="I595" s="15">
        <f t="shared" si="92"/>
        <v>8668.4</v>
      </c>
      <c r="J595" s="15">
        <f t="shared" si="93"/>
        <v>13002.599999999999</v>
      </c>
      <c r="K595" s="15">
        <f t="shared" si="94"/>
        <v>2600.52</v>
      </c>
      <c r="L595" s="12">
        <v>200</v>
      </c>
      <c r="M595" s="12">
        <f t="shared" si="95"/>
        <v>208</v>
      </c>
      <c r="N595" s="15">
        <v>1</v>
      </c>
      <c r="O595" s="15">
        <f t="shared" si="96"/>
        <v>104.1875</v>
      </c>
      <c r="P595" s="15">
        <f t="shared" si="97"/>
        <v>208.375</v>
      </c>
      <c r="Q595" s="15">
        <f t="shared" si="98"/>
        <v>208.375</v>
      </c>
      <c r="R595" s="12">
        <v>49199</v>
      </c>
      <c r="S595" s="15">
        <f t="shared" si="99"/>
        <v>57856</v>
      </c>
      <c r="T595" s="20">
        <f>S595/median_percentile!$B$1</f>
        <v>1.147970673730369</v>
      </c>
      <c r="U595" s="24" t="str" cm="1">
        <f t="array" ref="U595">_xlfn.IFS(T595&lt;1,"underpaid",T595&gt;1,"overpaid",T595=1,"median pay")</f>
        <v>overpaid</v>
      </c>
      <c r="V595" s="5"/>
    </row>
    <row r="596" spans="1:22" x14ac:dyDescent="0.3">
      <c r="A596" s="21" t="s">
        <v>607</v>
      </c>
      <c r="B596" s="8" t="s">
        <v>1606</v>
      </c>
      <c r="C596" s="8" t="s">
        <v>2016</v>
      </c>
      <c r="D596" s="9">
        <v>44302</v>
      </c>
      <c r="E596" s="10">
        <f t="shared" si="90"/>
        <v>647328</v>
      </c>
      <c r="F596" s="8">
        <v>47153</v>
      </c>
      <c r="G596" s="8">
        <v>6791</v>
      </c>
      <c r="H596" s="11">
        <f t="shared" si="91"/>
        <v>23576.5</v>
      </c>
      <c r="I596" s="11">
        <f t="shared" si="92"/>
        <v>9430.6</v>
      </c>
      <c r="J596" s="11">
        <f t="shared" si="93"/>
        <v>14145.900000000001</v>
      </c>
      <c r="K596" s="11">
        <f t="shared" si="94"/>
        <v>2829.18</v>
      </c>
      <c r="L596" s="8">
        <v>200</v>
      </c>
      <c r="M596" s="8">
        <f t="shared" si="95"/>
        <v>208</v>
      </c>
      <c r="N596" s="11">
        <v>1</v>
      </c>
      <c r="O596" s="11">
        <f t="shared" si="96"/>
        <v>113.34855769230769</v>
      </c>
      <c r="P596" s="11">
        <f t="shared" si="97"/>
        <v>226.69711538461539</v>
      </c>
      <c r="Q596" s="11">
        <f t="shared" si="98"/>
        <v>226.69711538461539</v>
      </c>
      <c r="R596" s="8">
        <v>51700</v>
      </c>
      <c r="S596" s="11">
        <f t="shared" si="99"/>
        <v>58491</v>
      </c>
      <c r="T596" s="20">
        <f>S596/median_percentile!$B$1</f>
        <v>1.1605702550671151</v>
      </c>
      <c r="U596" s="24" t="str" cm="1">
        <f t="array" ref="U596">_xlfn.IFS(T596&lt;1,"underpaid",T596&gt;1,"overpaid",T596=1,"median pay")</f>
        <v>overpaid</v>
      </c>
      <c r="V596" s="5"/>
    </row>
    <row r="597" spans="1:22" x14ac:dyDescent="0.3">
      <c r="A597" s="22" t="s">
        <v>608</v>
      </c>
      <c r="B597" s="12" t="s">
        <v>1607</v>
      </c>
      <c r="C597" s="12" t="s">
        <v>2015</v>
      </c>
      <c r="D597" s="13">
        <v>44994</v>
      </c>
      <c r="E597" s="14">
        <f t="shared" si="90"/>
        <v>579348</v>
      </c>
      <c r="F597" s="12">
        <v>43773</v>
      </c>
      <c r="G597" s="12">
        <v>4506</v>
      </c>
      <c r="H597" s="15">
        <f t="shared" si="91"/>
        <v>21886.5</v>
      </c>
      <c r="I597" s="15">
        <f t="shared" si="92"/>
        <v>8754.6</v>
      </c>
      <c r="J597" s="15">
        <f t="shared" si="93"/>
        <v>13131.900000000001</v>
      </c>
      <c r="K597" s="15">
        <f t="shared" si="94"/>
        <v>2626.38</v>
      </c>
      <c r="L597" s="12">
        <v>200</v>
      </c>
      <c r="M597" s="12">
        <f t="shared" si="95"/>
        <v>208</v>
      </c>
      <c r="N597" s="15">
        <v>5</v>
      </c>
      <c r="O597" s="15">
        <f t="shared" si="96"/>
        <v>105.22355769230769</v>
      </c>
      <c r="P597" s="15">
        <f t="shared" si="97"/>
        <v>210.44711538461539</v>
      </c>
      <c r="Q597" s="15">
        <f t="shared" si="98"/>
        <v>1052.2355769230769</v>
      </c>
      <c r="R597" s="12">
        <v>45453</v>
      </c>
      <c r="S597" s="15">
        <f t="shared" si="99"/>
        <v>49959</v>
      </c>
      <c r="T597" s="20">
        <f>S597/median_percentile!$B$1</f>
        <v>0.99127950236614182</v>
      </c>
      <c r="U597" s="24" t="str" cm="1">
        <f t="array" ref="U597">_xlfn.IFS(T597&lt;1,"underpaid",T597&gt;1,"overpaid",T597=1,"median pay")</f>
        <v>underpaid</v>
      </c>
      <c r="V597" s="5"/>
    </row>
    <row r="598" spans="1:22" x14ac:dyDescent="0.3">
      <c r="A598" s="21" t="s">
        <v>609</v>
      </c>
      <c r="B598" s="8" t="s">
        <v>1608</v>
      </c>
      <c r="C598" s="8" t="s">
        <v>2016</v>
      </c>
      <c r="D598" s="9">
        <v>45248</v>
      </c>
      <c r="E598" s="10">
        <f t="shared" si="90"/>
        <v>528684</v>
      </c>
      <c r="F598" s="8">
        <v>37170</v>
      </c>
      <c r="G598" s="8">
        <v>6887</v>
      </c>
      <c r="H598" s="11">
        <f t="shared" si="91"/>
        <v>18585</v>
      </c>
      <c r="I598" s="11">
        <f t="shared" si="92"/>
        <v>7434</v>
      </c>
      <c r="J598" s="11">
        <f t="shared" si="93"/>
        <v>11151</v>
      </c>
      <c r="K598" s="11">
        <f t="shared" si="94"/>
        <v>2230.1999999999998</v>
      </c>
      <c r="L598" s="8">
        <v>200</v>
      </c>
      <c r="M598" s="8">
        <f t="shared" si="95"/>
        <v>208</v>
      </c>
      <c r="N598" s="11">
        <v>3</v>
      </c>
      <c r="O598" s="11">
        <f t="shared" si="96"/>
        <v>89.350961538461533</v>
      </c>
      <c r="P598" s="11">
        <f t="shared" si="97"/>
        <v>178.70192307692307</v>
      </c>
      <c r="Q598" s="11">
        <f t="shared" si="98"/>
        <v>536.10576923076917</v>
      </c>
      <c r="R598" s="8">
        <v>42246</v>
      </c>
      <c r="S598" s="11">
        <f t="shared" si="99"/>
        <v>49133</v>
      </c>
      <c r="T598" s="20">
        <f>S598/median_percentile!$B$1</f>
        <v>0.97489012569818545</v>
      </c>
      <c r="U598" s="24" t="str" cm="1">
        <f t="array" ref="U598">_xlfn.IFS(T598&lt;1,"underpaid",T598&gt;1,"overpaid",T598=1,"median pay")</f>
        <v>underpaid</v>
      </c>
      <c r="V598" s="5"/>
    </row>
    <row r="599" spans="1:22" x14ac:dyDescent="0.3">
      <c r="A599" s="22" t="s">
        <v>610</v>
      </c>
      <c r="B599" s="12" t="s">
        <v>1609</v>
      </c>
      <c r="C599" s="12" t="s">
        <v>2011</v>
      </c>
      <c r="D599" s="13">
        <v>43468</v>
      </c>
      <c r="E599" s="14">
        <f t="shared" si="90"/>
        <v>467844</v>
      </c>
      <c r="F599" s="12">
        <v>35031</v>
      </c>
      <c r="G599" s="12">
        <v>3956</v>
      </c>
      <c r="H599" s="15">
        <f t="shared" si="91"/>
        <v>17515.5</v>
      </c>
      <c r="I599" s="15">
        <f t="shared" si="92"/>
        <v>7006.2000000000007</v>
      </c>
      <c r="J599" s="15">
        <f t="shared" si="93"/>
        <v>10509.3</v>
      </c>
      <c r="K599" s="15">
        <f t="shared" si="94"/>
        <v>2101.86</v>
      </c>
      <c r="L599" s="12">
        <v>200</v>
      </c>
      <c r="M599" s="12">
        <f t="shared" si="95"/>
        <v>208</v>
      </c>
      <c r="N599" s="15">
        <v>3</v>
      </c>
      <c r="O599" s="15">
        <f t="shared" si="96"/>
        <v>84.209134615384613</v>
      </c>
      <c r="P599" s="15">
        <f t="shared" si="97"/>
        <v>168.41826923076923</v>
      </c>
      <c r="Q599" s="15">
        <f t="shared" si="98"/>
        <v>505.25480769230768</v>
      </c>
      <c r="R599" s="12">
        <v>36977</v>
      </c>
      <c r="S599" s="15">
        <f t="shared" si="99"/>
        <v>40933</v>
      </c>
      <c r="T599" s="20">
        <f>S599/median_percentile!$B$1</f>
        <v>0.81218687064099127</v>
      </c>
      <c r="U599" s="24" t="str" cm="1">
        <f t="array" ref="U599">_xlfn.IFS(T599&lt;1,"underpaid",T599&gt;1,"overpaid",T599=1,"median pay")</f>
        <v>underpaid</v>
      </c>
      <c r="V599" s="5"/>
    </row>
    <row r="600" spans="1:22" x14ac:dyDescent="0.3">
      <c r="A600" s="21" t="s">
        <v>611</v>
      </c>
      <c r="B600" s="8" t="s">
        <v>1610</v>
      </c>
      <c r="C600" s="8" t="s">
        <v>2014</v>
      </c>
      <c r="D600" s="9">
        <v>44805</v>
      </c>
      <c r="E600" s="10">
        <f t="shared" si="90"/>
        <v>910572</v>
      </c>
      <c r="F600" s="8">
        <v>67727</v>
      </c>
      <c r="G600" s="8">
        <v>8154</v>
      </c>
      <c r="H600" s="11">
        <f t="shared" si="91"/>
        <v>33863.5</v>
      </c>
      <c r="I600" s="11">
        <f t="shared" si="92"/>
        <v>13545.400000000001</v>
      </c>
      <c r="J600" s="11">
        <f t="shared" si="93"/>
        <v>20318.099999999999</v>
      </c>
      <c r="K600" s="11">
        <f t="shared" si="94"/>
        <v>4063.62</v>
      </c>
      <c r="L600" s="8">
        <v>200</v>
      </c>
      <c r="M600" s="8">
        <f t="shared" si="95"/>
        <v>208</v>
      </c>
      <c r="N600" s="11">
        <v>2</v>
      </c>
      <c r="O600" s="11">
        <f t="shared" si="96"/>
        <v>162.80528846153845</v>
      </c>
      <c r="P600" s="11">
        <f t="shared" si="97"/>
        <v>325.61057692307691</v>
      </c>
      <c r="Q600" s="11">
        <f t="shared" si="98"/>
        <v>651.22115384615381</v>
      </c>
      <c r="R600" s="8">
        <v>72182</v>
      </c>
      <c r="S600" s="11">
        <f t="shared" si="99"/>
        <v>80336</v>
      </c>
      <c r="T600" s="20">
        <f>S600/median_percentile!$B$1</f>
        <v>1.5940156949115549</v>
      </c>
      <c r="U600" s="24" t="str" cm="1">
        <f t="array" ref="U600">_xlfn.IFS(T600&lt;1,"underpaid",T600&gt;1,"overpaid",T600=1,"median pay")</f>
        <v>overpaid</v>
      </c>
      <c r="V600" s="5"/>
    </row>
    <row r="601" spans="1:22" x14ac:dyDescent="0.3">
      <c r="A601" s="22" t="s">
        <v>612</v>
      </c>
      <c r="B601" s="12" t="s">
        <v>1611</v>
      </c>
      <c r="C601" s="12" t="s">
        <v>2011</v>
      </c>
      <c r="D601" s="13">
        <v>44052</v>
      </c>
      <c r="E601" s="14">
        <f t="shared" si="90"/>
        <v>360276</v>
      </c>
      <c r="F601" s="12">
        <v>25564</v>
      </c>
      <c r="G601" s="12">
        <v>4459</v>
      </c>
      <c r="H601" s="15">
        <f t="shared" si="91"/>
        <v>12782</v>
      </c>
      <c r="I601" s="15">
        <f t="shared" si="92"/>
        <v>5112.8</v>
      </c>
      <c r="J601" s="15">
        <f t="shared" si="93"/>
        <v>7669.2000000000007</v>
      </c>
      <c r="K601" s="15">
        <f t="shared" si="94"/>
        <v>1533.84</v>
      </c>
      <c r="L601" s="12">
        <v>200</v>
      </c>
      <c r="M601" s="12">
        <f t="shared" si="95"/>
        <v>208</v>
      </c>
      <c r="N601" s="15">
        <v>4</v>
      </c>
      <c r="O601" s="15">
        <f t="shared" si="96"/>
        <v>61.45192307692308</v>
      </c>
      <c r="P601" s="15">
        <f t="shared" si="97"/>
        <v>122.90384615384616</v>
      </c>
      <c r="Q601" s="15">
        <f t="shared" si="98"/>
        <v>491.61538461538464</v>
      </c>
      <c r="R601" s="12">
        <v>28290</v>
      </c>
      <c r="S601" s="15">
        <f t="shared" si="99"/>
        <v>32749</v>
      </c>
      <c r="T601" s="20">
        <f>S601/median_percentile!$B$1</f>
        <v>0.64980108534976244</v>
      </c>
      <c r="U601" s="24" t="str" cm="1">
        <f t="array" ref="U601">_xlfn.IFS(T601&lt;1,"underpaid",T601&gt;1,"overpaid",T601=1,"median pay")</f>
        <v>underpaid</v>
      </c>
      <c r="V601" s="5"/>
    </row>
    <row r="602" spans="1:22" x14ac:dyDescent="0.3">
      <c r="A602" s="21" t="s">
        <v>613</v>
      </c>
      <c r="B602" s="8" t="s">
        <v>1612</v>
      </c>
      <c r="C602" s="8" t="s">
        <v>2013</v>
      </c>
      <c r="D602" s="9">
        <v>43585</v>
      </c>
      <c r="E602" s="10">
        <f t="shared" si="90"/>
        <v>560520</v>
      </c>
      <c r="F602" s="8">
        <v>40269</v>
      </c>
      <c r="G602" s="8">
        <v>6441</v>
      </c>
      <c r="H602" s="11">
        <f t="shared" si="91"/>
        <v>20134.5</v>
      </c>
      <c r="I602" s="11">
        <f t="shared" si="92"/>
        <v>8053.8</v>
      </c>
      <c r="J602" s="11">
        <f t="shared" si="93"/>
        <v>12080.7</v>
      </c>
      <c r="K602" s="11">
        <f t="shared" si="94"/>
        <v>2416.14</v>
      </c>
      <c r="L602" s="8">
        <v>200</v>
      </c>
      <c r="M602" s="8">
        <f t="shared" si="95"/>
        <v>208</v>
      </c>
      <c r="N602" s="11">
        <v>3</v>
      </c>
      <c r="O602" s="11">
        <f t="shared" si="96"/>
        <v>96.800480769230774</v>
      </c>
      <c r="P602" s="11">
        <f t="shared" si="97"/>
        <v>193.60096153846155</v>
      </c>
      <c r="Q602" s="11">
        <f t="shared" si="98"/>
        <v>580.80288461538464</v>
      </c>
      <c r="R602" s="8">
        <v>44765</v>
      </c>
      <c r="S602" s="11">
        <f t="shared" si="99"/>
        <v>51206</v>
      </c>
      <c r="T602" s="20">
        <f>S602/median_percentile!$B$1</f>
        <v>1.0160223022510591</v>
      </c>
      <c r="U602" s="24" t="str" cm="1">
        <f t="array" ref="U602">_xlfn.IFS(T602&lt;1,"underpaid",T602&gt;1,"overpaid",T602=1,"median pay")</f>
        <v>overpaid</v>
      </c>
      <c r="V602" s="5"/>
    </row>
    <row r="603" spans="1:22" x14ac:dyDescent="0.3">
      <c r="A603" s="22" t="s">
        <v>614</v>
      </c>
      <c r="B603" s="12" t="s">
        <v>1613</v>
      </c>
      <c r="C603" s="12" t="s">
        <v>2012</v>
      </c>
      <c r="D603" s="13">
        <v>44159</v>
      </c>
      <c r="E603" s="14">
        <f t="shared" si="90"/>
        <v>687540</v>
      </c>
      <c r="F603" s="12">
        <v>49376</v>
      </c>
      <c r="G603" s="12">
        <v>7919</v>
      </c>
      <c r="H603" s="15">
        <f t="shared" si="91"/>
        <v>24688</v>
      </c>
      <c r="I603" s="15">
        <f t="shared" si="92"/>
        <v>9875.2000000000007</v>
      </c>
      <c r="J603" s="15">
        <f t="shared" si="93"/>
        <v>14812.800000000003</v>
      </c>
      <c r="K603" s="15">
        <f t="shared" si="94"/>
        <v>2962.56</v>
      </c>
      <c r="L603" s="12">
        <v>200</v>
      </c>
      <c r="M603" s="12">
        <f t="shared" si="95"/>
        <v>208</v>
      </c>
      <c r="N603" s="15">
        <v>2</v>
      </c>
      <c r="O603" s="15">
        <f t="shared" si="96"/>
        <v>118.69230769230769</v>
      </c>
      <c r="P603" s="15">
        <f t="shared" si="97"/>
        <v>237.38461538461539</v>
      </c>
      <c r="Q603" s="15">
        <f t="shared" si="98"/>
        <v>474.76923076923077</v>
      </c>
      <c r="R603" s="12">
        <v>54955</v>
      </c>
      <c r="S603" s="15">
        <f t="shared" si="99"/>
        <v>62874</v>
      </c>
      <c r="T603" s="20">
        <f>S603/median_percentile!$B$1</f>
        <v>1.2475371290812227</v>
      </c>
      <c r="U603" s="24" t="str" cm="1">
        <f t="array" ref="U603">_xlfn.IFS(T603&lt;1,"underpaid",T603&gt;1,"overpaid",T603=1,"median pay")</f>
        <v>overpaid</v>
      </c>
      <c r="V603" s="5"/>
    </row>
    <row r="604" spans="1:22" x14ac:dyDescent="0.3">
      <c r="A604" s="21" t="s">
        <v>615</v>
      </c>
      <c r="B604" s="8" t="s">
        <v>1614</v>
      </c>
      <c r="C604" s="8" t="s">
        <v>2012</v>
      </c>
      <c r="D604" s="9">
        <v>43619</v>
      </c>
      <c r="E604" s="10">
        <f t="shared" si="90"/>
        <v>391872</v>
      </c>
      <c r="F604" s="8">
        <v>29130</v>
      </c>
      <c r="G604" s="8">
        <v>3526</v>
      </c>
      <c r="H604" s="11">
        <f t="shared" si="91"/>
        <v>14565</v>
      </c>
      <c r="I604" s="11">
        <f t="shared" si="92"/>
        <v>5826</v>
      </c>
      <c r="J604" s="11">
        <f t="shared" si="93"/>
        <v>8739</v>
      </c>
      <c r="K604" s="11">
        <f t="shared" si="94"/>
        <v>1747.8</v>
      </c>
      <c r="L604" s="8">
        <v>200</v>
      </c>
      <c r="M604" s="8">
        <f t="shared" si="95"/>
        <v>208</v>
      </c>
      <c r="N604" s="11">
        <v>2</v>
      </c>
      <c r="O604" s="11">
        <f t="shared" si="96"/>
        <v>70.024038461538467</v>
      </c>
      <c r="P604" s="11">
        <f t="shared" si="97"/>
        <v>140.04807692307693</v>
      </c>
      <c r="Q604" s="11">
        <f t="shared" si="98"/>
        <v>280.09615384615387</v>
      </c>
      <c r="R604" s="8">
        <v>30709</v>
      </c>
      <c r="S604" s="11">
        <f t="shared" si="99"/>
        <v>34235</v>
      </c>
      <c r="T604" s="20">
        <f>S604/median_percentile!$B$1</f>
        <v>0.67928608986378558</v>
      </c>
      <c r="U604" s="24" t="str" cm="1">
        <f t="array" ref="U604">_xlfn.IFS(T604&lt;1,"underpaid",T604&gt;1,"overpaid",T604=1,"median pay")</f>
        <v>underpaid</v>
      </c>
      <c r="V604" s="5"/>
    </row>
    <row r="605" spans="1:22" x14ac:dyDescent="0.3">
      <c r="A605" s="22" t="s">
        <v>616</v>
      </c>
      <c r="B605" s="12" t="s">
        <v>1615</v>
      </c>
      <c r="C605" s="12" t="s">
        <v>2013</v>
      </c>
      <c r="D605" s="13">
        <v>45469</v>
      </c>
      <c r="E605" s="14">
        <f t="shared" si="90"/>
        <v>681384</v>
      </c>
      <c r="F605" s="12">
        <v>50876</v>
      </c>
      <c r="G605" s="12">
        <v>5906</v>
      </c>
      <c r="H605" s="15">
        <f t="shared" si="91"/>
        <v>25438</v>
      </c>
      <c r="I605" s="15">
        <f t="shared" si="92"/>
        <v>10175.200000000001</v>
      </c>
      <c r="J605" s="15">
        <f t="shared" si="93"/>
        <v>15262.800000000003</v>
      </c>
      <c r="K605" s="15">
        <f t="shared" si="94"/>
        <v>3052.56</v>
      </c>
      <c r="L605" s="12">
        <v>200</v>
      </c>
      <c r="M605" s="12">
        <f t="shared" si="95"/>
        <v>208</v>
      </c>
      <c r="N605" s="15">
        <v>2</v>
      </c>
      <c r="O605" s="15">
        <f t="shared" si="96"/>
        <v>122.29807692307692</v>
      </c>
      <c r="P605" s="15">
        <f t="shared" si="97"/>
        <v>244.59615384615384</v>
      </c>
      <c r="Q605" s="15">
        <f t="shared" si="98"/>
        <v>489.19230769230768</v>
      </c>
      <c r="R605" s="12">
        <v>53530</v>
      </c>
      <c r="S605" s="15">
        <f t="shared" si="99"/>
        <v>59436</v>
      </c>
      <c r="T605" s="20">
        <f>S605/median_percentile!$B$1</f>
        <v>1.1793208131194381</v>
      </c>
      <c r="U605" s="24" t="str" cm="1">
        <f t="array" ref="U605">_xlfn.IFS(T605&lt;1,"underpaid",T605&gt;1,"overpaid",T605=1,"median pay")</f>
        <v>overpaid</v>
      </c>
      <c r="V605" s="5"/>
    </row>
    <row r="606" spans="1:22" x14ac:dyDescent="0.3">
      <c r="A606" s="21" t="s">
        <v>617</v>
      </c>
      <c r="B606" s="8" t="s">
        <v>1616</v>
      </c>
      <c r="C606" s="8" t="s">
        <v>2011</v>
      </c>
      <c r="D606" s="9">
        <v>44293</v>
      </c>
      <c r="E606" s="10">
        <f t="shared" si="90"/>
        <v>579468</v>
      </c>
      <c r="F606" s="8">
        <v>40550</v>
      </c>
      <c r="G606" s="8">
        <v>7739</v>
      </c>
      <c r="H606" s="11">
        <f t="shared" si="91"/>
        <v>20275</v>
      </c>
      <c r="I606" s="11">
        <f t="shared" si="92"/>
        <v>8110</v>
      </c>
      <c r="J606" s="11">
        <f t="shared" si="93"/>
        <v>12165</v>
      </c>
      <c r="K606" s="11">
        <f t="shared" si="94"/>
        <v>2433</v>
      </c>
      <c r="L606" s="8">
        <v>200</v>
      </c>
      <c r="M606" s="8">
        <f t="shared" si="95"/>
        <v>208</v>
      </c>
      <c r="N606" s="11">
        <v>0</v>
      </c>
      <c r="O606" s="11">
        <f t="shared" si="96"/>
        <v>97.475961538461533</v>
      </c>
      <c r="P606" s="11">
        <f t="shared" si="97"/>
        <v>194.95192307692307</v>
      </c>
      <c r="Q606" s="11">
        <f t="shared" si="98"/>
        <v>0</v>
      </c>
      <c r="R606" s="8">
        <v>46331</v>
      </c>
      <c r="S606" s="11">
        <f t="shared" si="99"/>
        <v>54070</v>
      </c>
      <c r="T606" s="20">
        <f>S606/median_percentile!$B$1</f>
        <v>1.0728493903588401</v>
      </c>
      <c r="U606" s="24" t="str" cm="1">
        <f t="array" ref="U606">_xlfn.IFS(T606&lt;1,"underpaid",T606&gt;1,"overpaid",T606=1,"median pay")</f>
        <v>overpaid</v>
      </c>
      <c r="V606" s="5"/>
    </row>
    <row r="607" spans="1:22" x14ac:dyDescent="0.3">
      <c r="A607" s="22" t="s">
        <v>618</v>
      </c>
      <c r="B607" s="12" t="s">
        <v>1617</v>
      </c>
      <c r="C607" s="12" t="s">
        <v>2015</v>
      </c>
      <c r="D607" s="13">
        <v>43745</v>
      </c>
      <c r="E607" s="14">
        <f t="shared" si="90"/>
        <v>583884</v>
      </c>
      <c r="F607" s="12">
        <v>43550</v>
      </c>
      <c r="G607" s="12">
        <v>5107</v>
      </c>
      <c r="H607" s="15">
        <f t="shared" si="91"/>
        <v>21775</v>
      </c>
      <c r="I607" s="15">
        <f t="shared" si="92"/>
        <v>8710</v>
      </c>
      <c r="J607" s="15">
        <f t="shared" si="93"/>
        <v>13065</v>
      </c>
      <c r="K607" s="15">
        <f t="shared" si="94"/>
        <v>2613</v>
      </c>
      <c r="L607" s="12">
        <v>200</v>
      </c>
      <c r="M607" s="12">
        <f t="shared" si="95"/>
        <v>208</v>
      </c>
      <c r="N607" s="15">
        <v>2</v>
      </c>
      <c r="O607" s="15">
        <f t="shared" si="96"/>
        <v>104.6875</v>
      </c>
      <c r="P607" s="15">
        <f t="shared" si="97"/>
        <v>209.375</v>
      </c>
      <c r="Q607" s="15">
        <f t="shared" si="98"/>
        <v>418.75</v>
      </c>
      <c r="R607" s="12">
        <v>46206</v>
      </c>
      <c r="S607" s="15">
        <f t="shared" si="99"/>
        <v>51313</v>
      </c>
      <c r="T607" s="20">
        <f>S607/median_percentile!$B$1</f>
        <v>1.0181453813109518</v>
      </c>
      <c r="U607" s="24" t="str" cm="1">
        <f t="array" ref="U607">_xlfn.IFS(T607&lt;1,"underpaid",T607&gt;1,"overpaid",T607=1,"median pay")</f>
        <v>overpaid</v>
      </c>
      <c r="V607" s="5"/>
    </row>
    <row r="608" spans="1:22" x14ac:dyDescent="0.3">
      <c r="A608" s="21" t="s">
        <v>619</v>
      </c>
      <c r="B608" s="8" t="s">
        <v>1618</v>
      </c>
      <c r="C608" s="8" t="s">
        <v>2011</v>
      </c>
      <c r="D608" s="9">
        <v>45792</v>
      </c>
      <c r="E608" s="10">
        <f t="shared" si="90"/>
        <v>322068</v>
      </c>
      <c r="F608" s="8">
        <v>24313</v>
      </c>
      <c r="G608" s="8">
        <v>2526</v>
      </c>
      <c r="H608" s="11">
        <f t="shared" si="91"/>
        <v>12156.5</v>
      </c>
      <c r="I608" s="11">
        <f t="shared" si="92"/>
        <v>4862.6000000000004</v>
      </c>
      <c r="J608" s="11">
        <f t="shared" si="93"/>
        <v>7293.9000000000015</v>
      </c>
      <c r="K608" s="11">
        <f t="shared" si="94"/>
        <v>1458.78</v>
      </c>
      <c r="L608" s="8">
        <v>200</v>
      </c>
      <c r="M608" s="8">
        <f t="shared" si="95"/>
        <v>208</v>
      </c>
      <c r="N608" s="11">
        <v>4</v>
      </c>
      <c r="O608" s="11">
        <f t="shared" si="96"/>
        <v>58.44471153846154</v>
      </c>
      <c r="P608" s="11">
        <f t="shared" si="97"/>
        <v>116.88942307692308</v>
      </c>
      <c r="Q608" s="11">
        <f t="shared" si="98"/>
        <v>467.55769230769232</v>
      </c>
      <c r="R608" s="8">
        <v>25383</v>
      </c>
      <c r="S608" s="11">
        <f t="shared" si="99"/>
        <v>27909</v>
      </c>
      <c r="T608" s="20">
        <f>S608/median_percentile!$B$1</f>
        <v>0.55376648114527216</v>
      </c>
      <c r="U608" s="24" t="str" cm="1">
        <f t="array" ref="U608">_xlfn.IFS(T608&lt;1,"underpaid",T608&gt;1,"overpaid",T608=1,"median pay")</f>
        <v>underpaid</v>
      </c>
      <c r="V608" s="5"/>
    </row>
    <row r="609" spans="1:22" x14ac:dyDescent="0.3">
      <c r="A609" s="22" t="s">
        <v>620</v>
      </c>
      <c r="B609" s="12" t="s">
        <v>1619</v>
      </c>
      <c r="C609" s="12" t="s">
        <v>2013</v>
      </c>
      <c r="D609" s="13">
        <v>44340</v>
      </c>
      <c r="E609" s="14">
        <f t="shared" si="90"/>
        <v>718536</v>
      </c>
      <c r="F609" s="12">
        <v>51286</v>
      </c>
      <c r="G609" s="12">
        <v>8592</v>
      </c>
      <c r="H609" s="15">
        <f t="shared" si="91"/>
        <v>25643</v>
      </c>
      <c r="I609" s="15">
        <f t="shared" si="92"/>
        <v>10257.200000000001</v>
      </c>
      <c r="J609" s="15">
        <f t="shared" si="93"/>
        <v>15385.800000000003</v>
      </c>
      <c r="K609" s="15">
        <f t="shared" si="94"/>
        <v>3077.16</v>
      </c>
      <c r="L609" s="12">
        <v>200</v>
      </c>
      <c r="M609" s="12">
        <f t="shared" si="95"/>
        <v>208</v>
      </c>
      <c r="N609" s="15">
        <v>2</v>
      </c>
      <c r="O609" s="15">
        <f t="shared" si="96"/>
        <v>123.28365384615384</v>
      </c>
      <c r="P609" s="15">
        <f t="shared" si="97"/>
        <v>246.56730769230768</v>
      </c>
      <c r="Q609" s="15">
        <f t="shared" si="98"/>
        <v>493.13461538461536</v>
      </c>
      <c r="R609" s="12">
        <v>57028</v>
      </c>
      <c r="S609" s="15">
        <f t="shared" si="99"/>
        <v>65620</v>
      </c>
      <c r="T609" s="20">
        <f>S609/median_percentile!$B$1</f>
        <v>1.3020228776650098</v>
      </c>
      <c r="U609" s="24" t="str" cm="1">
        <f t="array" ref="U609">_xlfn.IFS(T609&lt;1,"underpaid",T609&gt;1,"overpaid",T609=1,"median pay")</f>
        <v>overpaid</v>
      </c>
      <c r="V609" s="5"/>
    </row>
    <row r="610" spans="1:22" x14ac:dyDescent="0.3">
      <c r="A610" s="21" t="s">
        <v>621</v>
      </c>
      <c r="B610" s="8" t="s">
        <v>1620</v>
      </c>
      <c r="C610" s="8" t="s">
        <v>2012</v>
      </c>
      <c r="D610" s="9">
        <v>43496</v>
      </c>
      <c r="E610" s="10">
        <f t="shared" si="90"/>
        <v>587520</v>
      </c>
      <c r="F610" s="8">
        <v>44363</v>
      </c>
      <c r="G610" s="8">
        <v>4597</v>
      </c>
      <c r="H610" s="11">
        <f t="shared" si="91"/>
        <v>22181.5</v>
      </c>
      <c r="I610" s="11">
        <f t="shared" si="92"/>
        <v>8872.6</v>
      </c>
      <c r="J610" s="11">
        <f t="shared" si="93"/>
        <v>13308.900000000001</v>
      </c>
      <c r="K610" s="11">
        <f t="shared" si="94"/>
        <v>2661.7799999999997</v>
      </c>
      <c r="L610" s="8">
        <v>200</v>
      </c>
      <c r="M610" s="8">
        <f t="shared" si="95"/>
        <v>208</v>
      </c>
      <c r="N610" s="11">
        <v>5</v>
      </c>
      <c r="O610" s="11">
        <f t="shared" si="96"/>
        <v>106.64182692307692</v>
      </c>
      <c r="P610" s="11">
        <f t="shared" si="97"/>
        <v>213.28365384615384</v>
      </c>
      <c r="Q610" s="11">
        <f t="shared" si="98"/>
        <v>1066.4182692307693</v>
      </c>
      <c r="R610" s="8">
        <v>46099</v>
      </c>
      <c r="S610" s="11">
        <f t="shared" si="99"/>
        <v>50696</v>
      </c>
      <c r="T610" s="20">
        <f>S610/median_percentile!$B$1</f>
        <v>1.0059029534609165</v>
      </c>
      <c r="U610" s="24" t="str" cm="1">
        <f t="array" ref="U610">_xlfn.IFS(T610&lt;1,"underpaid",T610&gt;1,"overpaid",T610=1,"median pay")</f>
        <v>overpaid</v>
      </c>
      <c r="V610" s="5"/>
    </row>
    <row r="611" spans="1:22" x14ac:dyDescent="0.3">
      <c r="A611" s="22" t="s">
        <v>622</v>
      </c>
      <c r="B611" s="12" t="s">
        <v>1621</v>
      </c>
      <c r="C611" s="12" t="s">
        <v>2012</v>
      </c>
      <c r="D611" s="13">
        <v>43873</v>
      </c>
      <c r="E611" s="14">
        <f t="shared" si="90"/>
        <v>566700</v>
      </c>
      <c r="F611" s="12">
        <v>42000</v>
      </c>
      <c r="G611" s="12">
        <v>5225</v>
      </c>
      <c r="H611" s="15">
        <f t="shared" si="91"/>
        <v>21000</v>
      </c>
      <c r="I611" s="15">
        <f t="shared" si="92"/>
        <v>8400</v>
      </c>
      <c r="J611" s="15">
        <f t="shared" si="93"/>
        <v>12600</v>
      </c>
      <c r="K611" s="15">
        <f t="shared" si="94"/>
        <v>2520</v>
      </c>
      <c r="L611" s="12">
        <v>200</v>
      </c>
      <c r="M611" s="12">
        <f t="shared" si="95"/>
        <v>208</v>
      </c>
      <c r="N611" s="15">
        <v>5</v>
      </c>
      <c r="O611" s="15">
        <f t="shared" si="96"/>
        <v>100.96153846153847</v>
      </c>
      <c r="P611" s="15">
        <f t="shared" si="97"/>
        <v>201.92307692307693</v>
      </c>
      <c r="Q611" s="15">
        <f t="shared" si="98"/>
        <v>1009.6153846153846</v>
      </c>
      <c r="R611" s="12">
        <v>44505</v>
      </c>
      <c r="S611" s="15">
        <f t="shared" si="99"/>
        <v>49730</v>
      </c>
      <c r="T611" s="20">
        <f>S611/median_percentile!$B$1</f>
        <v>0.98673571634076407</v>
      </c>
      <c r="U611" s="24" t="str" cm="1">
        <f t="array" ref="U611">_xlfn.IFS(T611&lt;1,"underpaid",T611&gt;1,"overpaid",T611=1,"median pay")</f>
        <v>underpaid</v>
      </c>
      <c r="V611" s="5"/>
    </row>
    <row r="612" spans="1:22" x14ac:dyDescent="0.3">
      <c r="A612" s="21" t="s">
        <v>623</v>
      </c>
      <c r="B612" s="8" t="s">
        <v>1622</v>
      </c>
      <c r="C612" s="8" t="s">
        <v>2011</v>
      </c>
      <c r="D612" s="9">
        <v>44240</v>
      </c>
      <c r="E612" s="10">
        <f t="shared" si="90"/>
        <v>433416</v>
      </c>
      <c r="F612" s="8">
        <v>32341</v>
      </c>
      <c r="G612" s="8">
        <v>3777</v>
      </c>
      <c r="H612" s="11">
        <f t="shared" si="91"/>
        <v>16170.5</v>
      </c>
      <c r="I612" s="11">
        <f t="shared" si="92"/>
        <v>6468.2000000000007</v>
      </c>
      <c r="J612" s="11">
        <f t="shared" si="93"/>
        <v>9702.2999999999993</v>
      </c>
      <c r="K612" s="11">
        <f t="shared" si="94"/>
        <v>1940.46</v>
      </c>
      <c r="L612" s="8">
        <v>200</v>
      </c>
      <c r="M612" s="8">
        <f t="shared" si="95"/>
        <v>208</v>
      </c>
      <c r="N612" s="11">
        <v>5</v>
      </c>
      <c r="O612" s="11">
        <f t="shared" si="96"/>
        <v>77.742788461538467</v>
      </c>
      <c r="P612" s="11">
        <f t="shared" si="97"/>
        <v>155.48557692307693</v>
      </c>
      <c r="Q612" s="11">
        <f t="shared" si="98"/>
        <v>777.42788461538464</v>
      </c>
      <c r="R612" s="8">
        <v>34517</v>
      </c>
      <c r="S612" s="11">
        <f t="shared" si="99"/>
        <v>38294</v>
      </c>
      <c r="T612" s="20">
        <f>S612/median_percentile!$B$1</f>
        <v>0.7598242011170967</v>
      </c>
      <c r="U612" s="24" t="str" cm="1">
        <f t="array" ref="U612">_xlfn.IFS(T612&lt;1,"underpaid",T612&gt;1,"overpaid",T612=1,"median pay")</f>
        <v>underpaid</v>
      </c>
      <c r="V612" s="5"/>
    </row>
    <row r="613" spans="1:22" x14ac:dyDescent="0.3">
      <c r="A613" s="22" t="s">
        <v>624</v>
      </c>
      <c r="B613" s="12" t="s">
        <v>1623</v>
      </c>
      <c r="C613" s="12" t="s">
        <v>2016</v>
      </c>
      <c r="D613" s="13">
        <v>44096</v>
      </c>
      <c r="E613" s="14">
        <f t="shared" si="90"/>
        <v>579384</v>
      </c>
      <c r="F613" s="12">
        <v>40388</v>
      </c>
      <c r="G613" s="12">
        <v>7894</v>
      </c>
      <c r="H613" s="15">
        <f t="shared" si="91"/>
        <v>20194</v>
      </c>
      <c r="I613" s="15">
        <f t="shared" si="92"/>
        <v>8077.6</v>
      </c>
      <c r="J613" s="15">
        <f t="shared" si="93"/>
        <v>12116.400000000001</v>
      </c>
      <c r="K613" s="15">
        <f t="shared" si="94"/>
        <v>2423.2799999999997</v>
      </c>
      <c r="L613" s="12">
        <v>200</v>
      </c>
      <c r="M613" s="12">
        <f t="shared" si="95"/>
        <v>208</v>
      </c>
      <c r="N613" s="15">
        <v>0</v>
      </c>
      <c r="O613" s="15">
        <f t="shared" si="96"/>
        <v>97.086538461538467</v>
      </c>
      <c r="P613" s="15">
        <f t="shared" si="97"/>
        <v>194.17307692307693</v>
      </c>
      <c r="Q613" s="15">
        <f t="shared" si="98"/>
        <v>0</v>
      </c>
      <c r="R613" s="12">
        <v>45995</v>
      </c>
      <c r="S613" s="15">
        <f t="shared" si="99"/>
        <v>53889</v>
      </c>
      <c r="T613" s="20">
        <f>S613/median_percentile!$B$1</f>
        <v>1.0692580136313581</v>
      </c>
      <c r="U613" s="24" t="str" cm="1">
        <f t="array" ref="U613">_xlfn.IFS(T613&lt;1,"underpaid",T613&gt;1,"overpaid",T613=1,"median pay")</f>
        <v>overpaid</v>
      </c>
      <c r="V613" s="5"/>
    </row>
    <row r="614" spans="1:22" x14ac:dyDescent="0.3">
      <c r="A614" s="21" t="s">
        <v>625</v>
      </c>
      <c r="B614" s="8" t="s">
        <v>1624</v>
      </c>
      <c r="C614" s="8" t="s">
        <v>2011</v>
      </c>
      <c r="D614" s="9">
        <v>45608</v>
      </c>
      <c r="E614" s="10">
        <f t="shared" si="90"/>
        <v>581832</v>
      </c>
      <c r="F614" s="8">
        <v>41658</v>
      </c>
      <c r="G614" s="8">
        <v>6828</v>
      </c>
      <c r="H614" s="11">
        <f t="shared" si="91"/>
        <v>20829</v>
      </c>
      <c r="I614" s="11">
        <f t="shared" si="92"/>
        <v>8331.6</v>
      </c>
      <c r="J614" s="11">
        <f t="shared" si="93"/>
        <v>12497.400000000001</v>
      </c>
      <c r="K614" s="11">
        <f t="shared" si="94"/>
        <v>2499.48</v>
      </c>
      <c r="L614" s="8">
        <v>200</v>
      </c>
      <c r="M614" s="8">
        <f t="shared" si="95"/>
        <v>208</v>
      </c>
      <c r="N614" s="11">
        <v>3</v>
      </c>
      <c r="O614" s="11">
        <f t="shared" si="96"/>
        <v>100.13942307692308</v>
      </c>
      <c r="P614" s="11">
        <f t="shared" si="97"/>
        <v>200.27884615384616</v>
      </c>
      <c r="Q614" s="11">
        <f t="shared" si="98"/>
        <v>600.83653846153845</v>
      </c>
      <c r="R614" s="8">
        <v>45787</v>
      </c>
      <c r="S614" s="11">
        <f t="shared" si="99"/>
        <v>52615</v>
      </c>
      <c r="T614" s="20">
        <f>S614/median_percentile!$B$1</f>
        <v>1.0439794835163745</v>
      </c>
      <c r="U614" s="24" t="str" cm="1">
        <f t="array" ref="U614">_xlfn.IFS(T614&lt;1,"underpaid",T614&gt;1,"overpaid",T614=1,"median pay")</f>
        <v>overpaid</v>
      </c>
      <c r="V614" s="5"/>
    </row>
    <row r="615" spans="1:22" x14ac:dyDescent="0.3">
      <c r="A615" s="22" t="s">
        <v>626</v>
      </c>
      <c r="B615" s="12" t="s">
        <v>1625</v>
      </c>
      <c r="C615" s="12" t="s">
        <v>2011</v>
      </c>
      <c r="D615" s="13">
        <v>43715</v>
      </c>
      <c r="E615" s="14">
        <f t="shared" si="90"/>
        <v>379452</v>
      </c>
      <c r="F615" s="12">
        <v>26498</v>
      </c>
      <c r="G615" s="12">
        <v>5123</v>
      </c>
      <c r="H615" s="15">
        <f t="shared" si="91"/>
        <v>13249</v>
      </c>
      <c r="I615" s="15">
        <f t="shared" si="92"/>
        <v>5299.6</v>
      </c>
      <c r="J615" s="15">
        <f t="shared" si="93"/>
        <v>7949.4000000000015</v>
      </c>
      <c r="K615" s="15">
        <f t="shared" si="94"/>
        <v>1589.8799999999999</v>
      </c>
      <c r="L615" s="12">
        <v>200</v>
      </c>
      <c r="M615" s="12">
        <f t="shared" si="95"/>
        <v>208</v>
      </c>
      <c r="N615" s="15">
        <v>1</v>
      </c>
      <c r="O615" s="15">
        <f t="shared" si="96"/>
        <v>63.697115384615387</v>
      </c>
      <c r="P615" s="15">
        <f t="shared" si="97"/>
        <v>127.39423076923077</v>
      </c>
      <c r="Q615" s="15">
        <f t="shared" si="98"/>
        <v>127.39423076923077</v>
      </c>
      <c r="R615" s="12">
        <v>30052</v>
      </c>
      <c r="S615" s="15">
        <f t="shared" si="99"/>
        <v>35175</v>
      </c>
      <c r="T615" s="20">
        <f>S615/median_percentile!$B$1</f>
        <v>0.69793743861424451</v>
      </c>
      <c r="U615" s="24" t="str" cm="1">
        <f t="array" ref="U615">_xlfn.IFS(T615&lt;1,"underpaid",T615&gt;1,"overpaid",T615=1,"median pay")</f>
        <v>underpaid</v>
      </c>
      <c r="V615" s="5"/>
    </row>
    <row r="616" spans="1:22" x14ac:dyDescent="0.3">
      <c r="A616" s="21" t="s">
        <v>627</v>
      </c>
      <c r="B616" s="8" t="s">
        <v>1626</v>
      </c>
      <c r="C616" s="8" t="s">
        <v>2012</v>
      </c>
      <c r="D616" s="9">
        <v>45683</v>
      </c>
      <c r="E616" s="10">
        <f t="shared" si="90"/>
        <v>557628</v>
      </c>
      <c r="F616" s="8">
        <v>39646</v>
      </c>
      <c r="G616" s="8">
        <v>6823</v>
      </c>
      <c r="H616" s="11">
        <f t="shared" si="91"/>
        <v>19823</v>
      </c>
      <c r="I616" s="11">
        <f t="shared" si="92"/>
        <v>7929.2000000000007</v>
      </c>
      <c r="J616" s="11">
        <f t="shared" si="93"/>
        <v>11893.8</v>
      </c>
      <c r="K616" s="11">
        <f t="shared" si="94"/>
        <v>2378.7599999999998</v>
      </c>
      <c r="L616" s="8">
        <v>200</v>
      </c>
      <c r="M616" s="8">
        <f t="shared" si="95"/>
        <v>208</v>
      </c>
      <c r="N616" s="11">
        <v>4</v>
      </c>
      <c r="O616" s="11">
        <f t="shared" si="96"/>
        <v>95.302884615384613</v>
      </c>
      <c r="P616" s="11">
        <f t="shared" si="97"/>
        <v>190.60576923076923</v>
      </c>
      <c r="Q616" s="11">
        <f t="shared" si="98"/>
        <v>762.42307692307691</v>
      </c>
      <c r="R616" s="8">
        <v>44221</v>
      </c>
      <c r="S616" s="11">
        <f t="shared" si="99"/>
        <v>51044</v>
      </c>
      <c r="T616" s="20">
        <f>S616/median_percentile!$B$1</f>
        <v>1.0128079208706608</v>
      </c>
      <c r="U616" s="24" t="str" cm="1">
        <f t="array" ref="U616">_xlfn.IFS(T616&lt;1,"underpaid",T616&gt;1,"overpaid",T616=1,"median pay")</f>
        <v>overpaid</v>
      </c>
      <c r="V616" s="5"/>
    </row>
    <row r="617" spans="1:22" x14ac:dyDescent="0.3">
      <c r="A617" s="22" t="s">
        <v>628</v>
      </c>
      <c r="B617" s="12" t="s">
        <v>1627</v>
      </c>
      <c r="C617" s="12" t="s">
        <v>2014</v>
      </c>
      <c r="D617" s="13">
        <v>44941</v>
      </c>
      <c r="E617" s="14">
        <f t="shared" si="90"/>
        <v>973176</v>
      </c>
      <c r="F617" s="12">
        <v>70466</v>
      </c>
      <c r="G617" s="12">
        <v>10632</v>
      </c>
      <c r="H617" s="15">
        <f t="shared" si="91"/>
        <v>35233</v>
      </c>
      <c r="I617" s="15">
        <f t="shared" si="92"/>
        <v>14093.2</v>
      </c>
      <c r="J617" s="15">
        <f t="shared" si="93"/>
        <v>21139.800000000003</v>
      </c>
      <c r="K617" s="15">
        <f t="shared" si="94"/>
        <v>4227.96</v>
      </c>
      <c r="L617" s="12">
        <v>200</v>
      </c>
      <c r="M617" s="12">
        <f t="shared" si="95"/>
        <v>208</v>
      </c>
      <c r="N617" s="15">
        <v>4</v>
      </c>
      <c r="O617" s="15">
        <f t="shared" si="96"/>
        <v>169.38942307692307</v>
      </c>
      <c r="P617" s="15">
        <f t="shared" si="97"/>
        <v>338.77884615384613</v>
      </c>
      <c r="Q617" s="15">
        <f t="shared" si="98"/>
        <v>1355.1153846153845</v>
      </c>
      <c r="R617" s="12">
        <v>76671</v>
      </c>
      <c r="S617" s="15">
        <f t="shared" si="99"/>
        <v>87303</v>
      </c>
      <c r="T617" s="20">
        <f>S617/median_percentile!$B$1</f>
        <v>1.7322539361290514</v>
      </c>
      <c r="U617" s="24" t="str" cm="1">
        <f t="array" ref="U617">_xlfn.IFS(T617&lt;1,"underpaid",T617&gt;1,"overpaid",T617=1,"median pay")</f>
        <v>overpaid</v>
      </c>
      <c r="V617" s="5"/>
    </row>
    <row r="618" spans="1:22" x14ac:dyDescent="0.3">
      <c r="A618" s="21" t="s">
        <v>629</v>
      </c>
      <c r="B618" s="8" t="s">
        <v>1628</v>
      </c>
      <c r="C618" s="8" t="s">
        <v>2015</v>
      </c>
      <c r="D618" s="9">
        <v>43847</v>
      </c>
      <c r="E618" s="10">
        <f t="shared" si="90"/>
        <v>690324</v>
      </c>
      <c r="F618" s="8">
        <v>50177</v>
      </c>
      <c r="G618" s="8">
        <v>7350</v>
      </c>
      <c r="H618" s="11">
        <f t="shared" si="91"/>
        <v>25088.5</v>
      </c>
      <c r="I618" s="11">
        <f t="shared" si="92"/>
        <v>10035.400000000001</v>
      </c>
      <c r="J618" s="11">
        <f t="shared" si="93"/>
        <v>15053.099999999999</v>
      </c>
      <c r="K618" s="11">
        <f t="shared" si="94"/>
        <v>3010.62</v>
      </c>
      <c r="L618" s="8">
        <v>200</v>
      </c>
      <c r="M618" s="8">
        <f t="shared" si="95"/>
        <v>208</v>
      </c>
      <c r="N618" s="11">
        <v>0</v>
      </c>
      <c r="O618" s="11">
        <f t="shared" si="96"/>
        <v>120.61778846153847</v>
      </c>
      <c r="P618" s="11">
        <f t="shared" si="97"/>
        <v>241.23557692307693</v>
      </c>
      <c r="Q618" s="11">
        <f t="shared" si="98"/>
        <v>0</v>
      </c>
      <c r="R618" s="8">
        <v>54317</v>
      </c>
      <c r="S618" s="11">
        <f t="shared" si="99"/>
        <v>61667</v>
      </c>
      <c r="T618" s="20">
        <f>S618/median_percentile!$B$1</f>
        <v>1.2235880036112186</v>
      </c>
      <c r="U618" s="24" t="str" cm="1">
        <f t="array" ref="U618">_xlfn.IFS(T618&lt;1,"underpaid",T618&gt;1,"overpaid",T618=1,"median pay")</f>
        <v>overpaid</v>
      </c>
      <c r="V618" s="5"/>
    </row>
    <row r="619" spans="1:22" x14ac:dyDescent="0.3">
      <c r="A619" s="22" t="s">
        <v>630</v>
      </c>
      <c r="B619" s="12" t="s">
        <v>1629</v>
      </c>
      <c r="C619" s="12" t="s">
        <v>2013</v>
      </c>
      <c r="D619" s="13">
        <v>44128</v>
      </c>
      <c r="E619" s="14">
        <f t="shared" si="90"/>
        <v>829836</v>
      </c>
      <c r="F619" s="12">
        <v>61113</v>
      </c>
      <c r="G619" s="12">
        <v>8040</v>
      </c>
      <c r="H619" s="15">
        <f t="shared" si="91"/>
        <v>30556.5</v>
      </c>
      <c r="I619" s="15">
        <f t="shared" si="92"/>
        <v>12222.6</v>
      </c>
      <c r="J619" s="15">
        <f t="shared" si="93"/>
        <v>18333.900000000001</v>
      </c>
      <c r="K619" s="15">
        <f t="shared" si="94"/>
        <v>3666.7799999999997</v>
      </c>
      <c r="L619" s="12">
        <v>200</v>
      </c>
      <c r="M619" s="12">
        <f t="shared" si="95"/>
        <v>208</v>
      </c>
      <c r="N619" s="15">
        <v>5</v>
      </c>
      <c r="O619" s="15">
        <f t="shared" si="96"/>
        <v>146.90625</v>
      </c>
      <c r="P619" s="15">
        <f t="shared" si="97"/>
        <v>293.8125</v>
      </c>
      <c r="Q619" s="15">
        <f t="shared" si="98"/>
        <v>1469.0625</v>
      </c>
      <c r="R619" s="12">
        <v>65287</v>
      </c>
      <c r="S619" s="15">
        <f t="shared" si="99"/>
        <v>73327</v>
      </c>
      <c r="T619" s="20">
        <f>S619/median_percentile!$B$1</f>
        <v>1.4549440955583997</v>
      </c>
      <c r="U619" s="24" t="str" cm="1">
        <f t="array" ref="U619">_xlfn.IFS(T619&lt;1,"underpaid",T619&gt;1,"overpaid",T619=1,"median pay")</f>
        <v>overpaid</v>
      </c>
      <c r="V619" s="5"/>
    </row>
    <row r="620" spans="1:22" x14ac:dyDescent="0.3">
      <c r="A620" s="21" t="s">
        <v>631</v>
      </c>
      <c r="B620" s="8" t="s">
        <v>1630</v>
      </c>
      <c r="C620" s="8" t="s">
        <v>2011</v>
      </c>
      <c r="D620" s="9">
        <v>44248</v>
      </c>
      <c r="E620" s="10">
        <f t="shared" si="90"/>
        <v>433524</v>
      </c>
      <c r="F620" s="8">
        <v>30793</v>
      </c>
      <c r="G620" s="8">
        <v>5334</v>
      </c>
      <c r="H620" s="11">
        <f t="shared" si="91"/>
        <v>15396.5</v>
      </c>
      <c r="I620" s="11">
        <f t="shared" si="92"/>
        <v>6158.6</v>
      </c>
      <c r="J620" s="11">
        <f t="shared" si="93"/>
        <v>9237.9000000000015</v>
      </c>
      <c r="K620" s="11">
        <f t="shared" si="94"/>
        <v>1847.58</v>
      </c>
      <c r="L620" s="8">
        <v>200</v>
      </c>
      <c r="M620" s="8">
        <f t="shared" si="95"/>
        <v>208</v>
      </c>
      <c r="N620" s="11">
        <v>3</v>
      </c>
      <c r="O620" s="11">
        <f t="shared" si="96"/>
        <v>74.021634615384613</v>
      </c>
      <c r="P620" s="11">
        <f t="shared" si="97"/>
        <v>148.04326923076923</v>
      </c>
      <c r="Q620" s="11">
        <f t="shared" si="98"/>
        <v>444.12980769230768</v>
      </c>
      <c r="R620" s="8">
        <v>34080</v>
      </c>
      <c r="S620" s="11">
        <f t="shared" si="99"/>
        <v>39414</v>
      </c>
      <c r="T620" s="20">
        <f>S620/median_percentile!$B$1</f>
        <v>0.78204708473466478</v>
      </c>
      <c r="U620" s="24" t="str" cm="1">
        <f t="array" ref="U620">_xlfn.IFS(T620&lt;1,"underpaid",T620&gt;1,"overpaid",T620=1,"median pay")</f>
        <v>underpaid</v>
      </c>
      <c r="V620" s="5"/>
    </row>
    <row r="621" spans="1:22" x14ac:dyDescent="0.3">
      <c r="A621" s="22" t="s">
        <v>632</v>
      </c>
      <c r="B621" s="12" t="s">
        <v>1631</v>
      </c>
      <c r="C621" s="12" t="s">
        <v>2015</v>
      </c>
      <c r="D621" s="13">
        <v>44496</v>
      </c>
      <c r="E621" s="14">
        <f t="shared" si="90"/>
        <v>450000</v>
      </c>
      <c r="F621" s="12">
        <v>32766</v>
      </c>
      <c r="G621" s="12">
        <v>4734</v>
      </c>
      <c r="H621" s="15">
        <f t="shared" si="91"/>
        <v>16383</v>
      </c>
      <c r="I621" s="15">
        <f t="shared" si="92"/>
        <v>6553.2000000000007</v>
      </c>
      <c r="J621" s="15">
        <f t="shared" si="93"/>
        <v>9829.7999999999993</v>
      </c>
      <c r="K621" s="15">
        <f t="shared" si="94"/>
        <v>1965.96</v>
      </c>
      <c r="L621" s="12">
        <v>200</v>
      </c>
      <c r="M621" s="12">
        <f t="shared" si="95"/>
        <v>208</v>
      </c>
      <c r="N621" s="15">
        <v>0</v>
      </c>
      <c r="O621" s="15">
        <f t="shared" si="96"/>
        <v>78.76442307692308</v>
      </c>
      <c r="P621" s="15">
        <f t="shared" si="97"/>
        <v>157.52884615384616</v>
      </c>
      <c r="Q621" s="15">
        <f t="shared" si="98"/>
        <v>0</v>
      </c>
      <c r="R621" s="12">
        <v>35881</v>
      </c>
      <c r="S621" s="15">
        <f t="shared" si="99"/>
        <v>40615</v>
      </c>
      <c r="T621" s="20">
        <f>S621/median_percentile!$B$1</f>
        <v>0.80587715904243185</v>
      </c>
      <c r="U621" s="24" t="str" cm="1">
        <f t="array" ref="U621">_xlfn.IFS(T621&lt;1,"underpaid",T621&gt;1,"overpaid",T621=1,"median pay")</f>
        <v>underpaid</v>
      </c>
      <c r="V621" s="5"/>
    </row>
    <row r="622" spans="1:22" x14ac:dyDescent="0.3">
      <c r="A622" s="21" t="s">
        <v>633</v>
      </c>
      <c r="B622" s="8" t="s">
        <v>1632</v>
      </c>
      <c r="C622" s="8" t="s">
        <v>2012</v>
      </c>
      <c r="D622" s="9">
        <v>46021</v>
      </c>
      <c r="E622" s="10">
        <f t="shared" si="90"/>
        <v>410928</v>
      </c>
      <c r="F622" s="8">
        <v>30247</v>
      </c>
      <c r="G622" s="8">
        <v>3997</v>
      </c>
      <c r="H622" s="11">
        <f t="shared" si="91"/>
        <v>15123.5</v>
      </c>
      <c r="I622" s="11">
        <f t="shared" si="92"/>
        <v>6049.4000000000005</v>
      </c>
      <c r="J622" s="11">
        <f t="shared" si="93"/>
        <v>9074.0999999999985</v>
      </c>
      <c r="K622" s="11">
        <f t="shared" si="94"/>
        <v>1814.82</v>
      </c>
      <c r="L622" s="8">
        <v>200</v>
      </c>
      <c r="M622" s="8">
        <f t="shared" si="95"/>
        <v>208</v>
      </c>
      <c r="N622" s="11">
        <v>3</v>
      </c>
      <c r="O622" s="11">
        <f t="shared" si="96"/>
        <v>72.709134615384613</v>
      </c>
      <c r="P622" s="11">
        <f t="shared" si="97"/>
        <v>145.41826923076923</v>
      </c>
      <c r="Q622" s="11">
        <f t="shared" si="98"/>
        <v>436.25480769230768</v>
      </c>
      <c r="R622" s="8">
        <v>32230</v>
      </c>
      <c r="S622" s="11">
        <f t="shared" si="99"/>
        <v>36227</v>
      </c>
      <c r="T622" s="20">
        <f>S622/median_percentile!$B$1</f>
        <v>0.71881107572646008</v>
      </c>
      <c r="U622" s="24" t="str" cm="1">
        <f t="array" ref="U622">_xlfn.IFS(T622&lt;1,"underpaid",T622&gt;1,"overpaid",T622=1,"median pay")</f>
        <v>underpaid</v>
      </c>
      <c r="V622" s="5"/>
    </row>
    <row r="623" spans="1:22" x14ac:dyDescent="0.3">
      <c r="A623" s="22" t="s">
        <v>634</v>
      </c>
      <c r="B623" s="12" t="s">
        <v>1633</v>
      </c>
      <c r="C623" s="12" t="s">
        <v>2011</v>
      </c>
      <c r="D623" s="13">
        <v>45073</v>
      </c>
      <c r="E623" s="14">
        <f t="shared" si="90"/>
        <v>412644</v>
      </c>
      <c r="F623" s="12">
        <v>30098</v>
      </c>
      <c r="G623" s="12">
        <v>4289</v>
      </c>
      <c r="H623" s="15">
        <f t="shared" si="91"/>
        <v>15049</v>
      </c>
      <c r="I623" s="15">
        <f t="shared" si="92"/>
        <v>6019.6</v>
      </c>
      <c r="J623" s="15">
        <f t="shared" si="93"/>
        <v>9029.4000000000015</v>
      </c>
      <c r="K623" s="15">
        <f t="shared" si="94"/>
        <v>1805.8799999999999</v>
      </c>
      <c r="L623" s="12">
        <v>200</v>
      </c>
      <c r="M623" s="12">
        <f t="shared" si="95"/>
        <v>208</v>
      </c>
      <c r="N623" s="15">
        <v>4</v>
      </c>
      <c r="O623" s="15">
        <f t="shared" si="96"/>
        <v>72.350961538461533</v>
      </c>
      <c r="P623" s="15">
        <f t="shared" si="97"/>
        <v>144.70192307692307</v>
      </c>
      <c r="Q623" s="15">
        <f t="shared" si="98"/>
        <v>578.80769230769226</v>
      </c>
      <c r="R623" s="12">
        <v>32382</v>
      </c>
      <c r="S623" s="15">
        <f t="shared" si="99"/>
        <v>36671</v>
      </c>
      <c r="T623" s="20">
        <f>S623/median_percentile!$B$1</f>
        <v>0.72762086173199603</v>
      </c>
      <c r="U623" s="24" t="str" cm="1">
        <f t="array" ref="U623">_xlfn.IFS(T623&lt;1,"underpaid",T623&gt;1,"overpaid",T623=1,"median pay")</f>
        <v>underpaid</v>
      </c>
      <c r="V623" s="5"/>
    </row>
    <row r="624" spans="1:22" x14ac:dyDescent="0.3">
      <c r="A624" s="21" t="s">
        <v>635</v>
      </c>
      <c r="B624" s="8" t="s">
        <v>1634</v>
      </c>
      <c r="C624" s="8" t="s">
        <v>2013</v>
      </c>
      <c r="D624" s="9">
        <v>45664</v>
      </c>
      <c r="E624" s="10">
        <f t="shared" si="90"/>
        <v>619032</v>
      </c>
      <c r="F624" s="8">
        <v>45642</v>
      </c>
      <c r="G624" s="8">
        <v>5944</v>
      </c>
      <c r="H624" s="11">
        <f t="shared" si="91"/>
        <v>22821</v>
      </c>
      <c r="I624" s="11">
        <f t="shared" si="92"/>
        <v>9128.4</v>
      </c>
      <c r="J624" s="11">
        <f t="shared" si="93"/>
        <v>13692.599999999999</v>
      </c>
      <c r="K624" s="11">
        <f t="shared" si="94"/>
        <v>2738.52</v>
      </c>
      <c r="L624" s="8">
        <v>200</v>
      </c>
      <c r="M624" s="8">
        <f t="shared" si="95"/>
        <v>208</v>
      </c>
      <c r="N624" s="11">
        <v>2</v>
      </c>
      <c r="O624" s="11">
        <f t="shared" si="96"/>
        <v>109.71634615384616</v>
      </c>
      <c r="P624" s="11">
        <f t="shared" si="97"/>
        <v>219.43269230769232</v>
      </c>
      <c r="Q624" s="11">
        <f t="shared" si="98"/>
        <v>438.86538461538464</v>
      </c>
      <c r="R624" s="8">
        <v>49408</v>
      </c>
      <c r="S624" s="11">
        <f t="shared" si="99"/>
        <v>55352</v>
      </c>
      <c r="T624" s="20">
        <f>S624/median_percentile!$B$1</f>
        <v>1.0982866553568063</v>
      </c>
      <c r="U624" s="24" t="str" cm="1">
        <f t="array" ref="U624">_xlfn.IFS(T624&lt;1,"underpaid",T624&gt;1,"overpaid",T624=1,"median pay")</f>
        <v>overpaid</v>
      </c>
      <c r="V624" s="5"/>
    </row>
    <row r="625" spans="1:22" x14ac:dyDescent="0.3">
      <c r="A625" s="22" t="s">
        <v>636</v>
      </c>
      <c r="B625" s="12" t="s">
        <v>1635</v>
      </c>
      <c r="C625" s="12" t="s">
        <v>2014</v>
      </c>
      <c r="D625" s="13">
        <v>44555</v>
      </c>
      <c r="E625" s="14">
        <f t="shared" si="90"/>
        <v>779760</v>
      </c>
      <c r="F625" s="12">
        <v>58636</v>
      </c>
      <c r="G625" s="12">
        <v>6344</v>
      </c>
      <c r="H625" s="15">
        <f t="shared" si="91"/>
        <v>29318</v>
      </c>
      <c r="I625" s="15">
        <f t="shared" si="92"/>
        <v>11727.2</v>
      </c>
      <c r="J625" s="15">
        <f t="shared" si="93"/>
        <v>17590.800000000003</v>
      </c>
      <c r="K625" s="15">
        <f t="shared" si="94"/>
        <v>3518.16</v>
      </c>
      <c r="L625" s="12">
        <v>200</v>
      </c>
      <c r="M625" s="12">
        <f t="shared" si="95"/>
        <v>208</v>
      </c>
      <c r="N625" s="15">
        <v>2</v>
      </c>
      <c r="O625" s="15">
        <f t="shared" si="96"/>
        <v>140.95192307692307</v>
      </c>
      <c r="P625" s="15">
        <f t="shared" si="97"/>
        <v>281.90384615384613</v>
      </c>
      <c r="Q625" s="15">
        <f t="shared" si="98"/>
        <v>563.80769230769226</v>
      </c>
      <c r="R625" s="12">
        <v>62239</v>
      </c>
      <c r="S625" s="15">
        <f t="shared" si="99"/>
        <v>68583</v>
      </c>
      <c r="T625" s="20">
        <f>S625/median_percentile!$B$1</f>
        <v>1.360814309949701</v>
      </c>
      <c r="U625" s="24" t="str" cm="1">
        <f t="array" ref="U625">_xlfn.IFS(T625&lt;1,"underpaid",T625&gt;1,"overpaid",T625=1,"median pay")</f>
        <v>overpaid</v>
      </c>
      <c r="V625" s="5"/>
    </row>
    <row r="626" spans="1:22" x14ac:dyDescent="0.3">
      <c r="A626" s="21" t="s">
        <v>637</v>
      </c>
      <c r="B626" s="8" t="s">
        <v>1636</v>
      </c>
      <c r="C626" s="8" t="s">
        <v>2014</v>
      </c>
      <c r="D626" s="9">
        <v>45852</v>
      </c>
      <c r="E626" s="10">
        <f t="shared" si="90"/>
        <v>827664</v>
      </c>
      <c r="F626" s="8">
        <v>61280</v>
      </c>
      <c r="G626" s="8">
        <v>7692</v>
      </c>
      <c r="H626" s="11">
        <f t="shared" si="91"/>
        <v>30640</v>
      </c>
      <c r="I626" s="11">
        <f t="shared" si="92"/>
        <v>12256</v>
      </c>
      <c r="J626" s="11">
        <f t="shared" si="93"/>
        <v>18384</v>
      </c>
      <c r="K626" s="11">
        <f t="shared" si="94"/>
        <v>3676.7999999999997</v>
      </c>
      <c r="L626" s="8">
        <v>200</v>
      </c>
      <c r="M626" s="8">
        <f t="shared" si="95"/>
        <v>208</v>
      </c>
      <c r="N626" s="11">
        <v>3</v>
      </c>
      <c r="O626" s="11">
        <f t="shared" si="96"/>
        <v>147.30769230769232</v>
      </c>
      <c r="P626" s="11">
        <f t="shared" si="97"/>
        <v>294.61538461538464</v>
      </c>
      <c r="Q626" s="11">
        <f t="shared" si="98"/>
        <v>883.84615384615392</v>
      </c>
      <c r="R626" s="8">
        <v>66117</v>
      </c>
      <c r="S626" s="11">
        <f t="shared" si="99"/>
        <v>73809</v>
      </c>
      <c r="T626" s="20">
        <f>S626/median_percentile!$B$1</f>
        <v>1.4645078722581029</v>
      </c>
      <c r="U626" s="24" t="str" cm="1">
        <f t="array" ref="U626">_xlfn.IFS(T626&lt;1,"underpaid",T626&gt;1,"overpaid",T626=1,"median pay")</f>
        <v>overpaid</v>
      </c>
      <c r="V626" s="5"/>
    </row>
    <row r="627" spans="1:22" x14ac:dyDescent="0.3">
      <c r="A627" s="22" t="s">
        <v>638</v>
      </c>
      <c r="B627" s="12" t="s">
        <v>1637</v>
      </c>
      <c r="C627" s="12" t="s">
        <v>2015</v>
      </c>
      <c r="D627" s="13">
        <v>43484</v>
      </c>
      <c r="E627" s="14">
        <f t="shared" si="90"/>
        <v>406416</v>
      </c>
      <c r="F627" s="12">
        <v>30321</v>
      </c>
      <c r="G627" s="12">
        <v>3547</v>
      </c>
      <c r="H627" s="15">
        <f t="shared" si="91"/>
        <v>15160.5</v>
      </c>
      <c r="I627" s="15">
        <f t="shared" si="92"/>
        <v>6064.2000000000007</v>
      </c>
      <c r="J627" s="15">
        <f t="shared" si="93"/>
        <v>9096.2999999999993</v>
      </c>
      <c r="K627" s="15">
        <f t="shared" si="94"/>
        <v>1819.26</v>
      </c>
      <c r="L627" s="12">
        <v>200</v>
      </c>
      <c r="M627" s="12">
        <f t="shared" si="95"/>
        <v>208</v>
      </c>
      <c r="N627" s="15">
        <v>3</v>
      </c>
      <c r="O627" s="15">
        <f t="shared" si="96"/>
        <v>72.887019230769226</v>
      </c>
      <c r="P627" s="15">
        <f t="shared" si="97"/>
        <v>145.77403846153845</v>
      </c>
      <c r="Q627" s="15">
        <f t="shared" si="98"/>
        <v>437.32211538461536</v>
      </c>
      <c r="R627" s="12">
        <v>32101</v>
      </c>
      <c r="S627" s="15">
        <f t="shared" si="99"/>
        <v>35648</v>
      </c>
      <c r="T627" s="20">
        <f>S627/median_percentile!$B$1</f>
        <v>0.70732263857059241</v>
      </c>
      <c r="U627" s="24" t="str" cm="1">
        <f t="array" ref="U627">_xlfn.IFS(T627&lt;1,"underpaid",T627&gt;1,"overpaid",T627=1,"median pay")</f>
        <v>underpaid</v>
      </c>
      <c r="V627" s="5"/>
    </row>
    <row r="628" spans="1:22" x14ac:dyDescent="0.3">
      <c r="A628" s="21" t="s">
        <v>639</v>
      </c>
      <c r="B628" s="8" t="s">
        <v>1638</v>
      </c>
      <c r="C628" s="8" t="s">
        <v>2011</v>
      </c>
      <c r="D628" s="9">
        <v>45335</v>
      </c>
      <c r="E628" s="10">
        <f t="shared" si="90"/>
        <v>373092</v>
      </c>
      <c r="F628" s="8">
        <v>26809</v>
      </c>
      <c r="G628" s="8">
        <v>4282</v>
      </c>
      <c r="H628" s="11">
        <f t="shared" si="91"/>
        <v>13404.5</v>
      </c>
      <c r="I628" s="11">
        <f t="shared" si="92"/>
        <v>5361.8</v>
      </c>
      <c r="J628" s="11">
        <f t="shared" si="93"/>
        <v>8042.7000000000007</v>
      </c>
      <c r="K628" s="11">
        <f t="shared" si="94"/>
        <v>1608.54</v>
      </c>
      <c r="L628" s="8">
        <v>200</v>
      </c>
      <c r="M628" s="8">
        <f t="shared" si="95"/>
        <v>208</v>
      </c>
      <c r="N628" s="11">
        <v>3</v>
      </c>
      <c r="O628" s="11">
        <f t="shared" si="96"/>
        <v>64.444711538461533</v>
      </c>
      <c r="P628" s="11">
        <f t="shared" si="97"/>
        <v>128.88942307692307</v>
      </c>
      <c r="Q628" s="11">
        <f t="shared" si="98"/>
        <v>386.66826923076917</v>
      </c>
      <c r="R628" s="8">
        <v>29506</v>
      </c>
      <c r="S628" s="11">
        <f t="shared" si="99"/>
        <v>33788</v>
      </c>
      <c r="T628" s="20">
        <f>S628/median_percentile!$B$1</f>
        <v>0.67041677827713131</v>
      </c>
      <c r="U628" s="24" t="str" cm="1">
        <f t="array" ref="U628">_xlfn.IFS(T628&lt;1,"underpaid",T628&gt;1,"overpaid",T628=1,"median pay")</f>
        <v>underpaid</v>
      </c>
      <c r="V628" s="5"/>
    </row>
    <row r="629" spans="1:22" x14ac:dyDescent="0.3">
      <c r="A629" s="22" t="s">
        <v>640</v>
      </c>
      <c r="B629" s="12" t="s">
        <v>1639</v>
      </c>
      <c r="C629" s="12" t="s">
        <v>2014</v>
      </c>
      <c r="D629" s="13">
        <v>43996</v>
      </c>
      <c r="E629" s="14">
        <f t="shared" si="90"/>
        <v>1034568</v>
      </c>
      <c r="F629" s="12">
        <v>72720</v>
      </c>
      <c r="G629" s="12">
        <v>13494</v>
      </c>
      <c r="H629" s="15">
        <f t="shared" si="91"/>
        <v>36360</v>
      </c>
      <c r="I629" s="15">
        <f t="shared" si="92"/>
        <v>14544</v>
      </c>
      <c r="J629" s="15">
        <f t="shared" si="93"/>
        <v>21816</v>
      </c>
      <c r="K629" s="15">
        <f t="shared" si="94"/>
        <v>4363.2</v>
      </c>
      <c r="L629" s="12">
        <v>200</v>
      </c>
      <c r="M629" s="12">
        <f t="shared" si="95"/>
        <v>208</v>
      </c>
      <c r="N629" s="15">
        <v>3</v>
      </c>
      <c r="O629" s="15">
        <f t="shared" si="96"/>
        <v>174.80769230769232</v>
      </c>
      <c r="P629" s="15">
        <f t="shared" si="97"/>
        <v>349.61538461538464</v>
      </c>
      <c r="Q629" s="15">
        <f t="shared" si="98"/>
        <v>1048.8461538461538</v>
      </c>
      <c r="R629" s="12">
        <v>81651</v>
      </c>
      <c r="S629" s="15">
        <f t="shared" si="99"/>
        <v>95145</v>
      </c>
      <c r="T629" s="20">
        <f>S629/median_percentile!$B$1</f>
        <v>1.8878538051727729</v>
      </c>
      <c r="U629" s="24" t="str" cm="1">
        <f t="array" ref="U629">_xlfn.IFS(T629&lt;1,"underpaid",T629&gt;1,"overpaid",T629=1,"median pay")</f>
        <v>overpaid</v>
      </c>
      <c r="V629" s="5"/>
    </row>
    <row r="630" spans="1:22" x14ac:dyDescent="0.3">
      <c r="A630" s="21" t="s">
        <v>641</v>
      </c>
      <c r="B630" s="8" t="s">
        <v>1640</v>
      </c>
      <c r="C630" s="8" t="s">
        <v>2013</v>
      </c>
      <c r="D630" s="9">
        <v>45588</v>
      </c>
      <c r="E630" s="10">
        <f t="shared" si="90"/>
        <v>795588</v>
      </c>
      <c r="F630" s="8">
        <v>55886</v>
      </c>
      <c r="G630" s="8">
        <v>10413</v>
      </c>
      <c r="H630" s="11">
        <f t="shared" si="91"/>
        <v>27943</v>
      </c>
      <c r="I630" s="11">
        <f t="shared" si="92"/>
        <v>11177.2</v>
      </c>
      <c r="J630" s="11">
        <f t="shared" si="93"/>
        <v>16765.800000000003</v>
      </c>
      <c r="K630" s="11">
        <f t="shared" si="94"/>
        <v>3353.16</v>
      </c>
      <c r="L630" s="8">
        <v>200</v>
      </c>
      <c r="M630" s="8">
        <f t="shared" si="95"/>
        <v>208</v>
      </c>
      <c r="N630" s="11">
        <v>4</v>
      </c>
      <c r="O630" s="11">
        <f t="shared" si="96"/>
        <v>134.34134615384616</v>
      </c>
      <c r="P630" s="11">
        <f t="shared" si="97"/>
        <v>268.68269230769232</v>
      </c>
      <c r="Q630" s="11">
        <f t="shared" si="98"/>
        <v>1074.7307692307693</v>
      </c>
      <c r="R630" s="8">
        <v>63677</v>
      </c>
      <c r="S630" s="11">
        <f t="shared" si="99"/>
        <v>74090</v>
      </c>
      <c r="T630" s="20">
        <f>S630/median_percentile!$B$1</f>
        <v>1.4700834350228678</v>
      </c>
      <c r="U630" s="24" t="str" cm="1">
        <f t="array" ref="U630">_xlfn.IFS(T630&lt;1,"underpaid",T630&gt;1,"overpaid",T630=1,"median pay")</f>
        <v>overpaid</v>
      </c>
      <c r="V630" s="5"/>
    </row>
    <row r="631" spans="1:22" x14ac:dyDescent="0.3">
      <c r="A631" s="22" t="s">
        <v>642</v>
      </c>
      <c r="B631" s="12" t="s">
        <v>1641</v>
      </c>
      <c r="C631" s="12" t="s">
        <v>2016</v>
      </c>
      <c r="D631" s="13">
        <v>43555</v>
      </c>
      <c r="E631" s="14">
        <f t="shared" si="90"/>
        <v>618000</v>
      </c>
      <c r="F631" s="12">
        <v>44731</v>
      </c>
      <c r="G631" s="12">
        <v>6769</v>
      </c>
      <c r="H631" s="15">
        <f t="shared" si="91"/>
        <v>22365.5</v>
      </c>
      <c r="I631" s="15">
        <f t="shared" si="92"/>
        <v>8946.2000000000007</v>
      </c>
      <c r="J631" s="15">
        <f t="shared" si="93"/>
        <v>13419.3</v>
      </c>
      <c r="K631" s="15">
        <f t="shared" si="94"/>
        <v>2683.86</v>
      </c>
      <c r="L631" s="12">
        <v>200</v>
      </c>
      <c r="M631" s="12">
        <f t="shared" si="95"/>
        <v>208</v>
      </c>
      <c r="N631" s="15">
        <v>3</v>
      </c>
      <c r="O631" s="15">
        <f t="shared" si="96"/>
        <v>107.52644230769231</v>
      </c>
      <c r="P631" s="15">
        <f t="shared" si="97"/>
        <v>215.05288461538461</v>
      </c>
      <c r="Q631" s="15">
        <f t="shared" si="98"/>
        <v>645.15865384615381</v>
      </c>
      <c r="R631" s="12">
        <v>49362</v>
      </c>
      <c r="S631" s="15">
        <f t="shared" si="99"/>
        <v>56131</v>
      </c>
      <c r="T631" s="20">
        <f>S631/median_percentile!$B$1</f>
        <v>1.1137434645872397</v>
      </c>
      <c r="U631" s="24" t="str" cm="1">
        <f t="array" ref="U631">_xlfn.IFS(T631&lt;1,"underpaid",T631&gt;1,"overpaid",T631=1,"median pay")</f>
        <v>overpaid</v>
      </c>
      <c r="V631" s="5"/>
    </row>
    <row r="632" spans="1:22" x14ac:dyDescent="0.3">
      <c r="A632" s="21" t="s">
        <v>643</v>
      </c>
      <c r="B632" s="8" t="s">
        <v>1642</v>
      </c>
      <c r="C632" s="8" t="s">
        <v>2013</v>
      </c>
      <c r="D632" s="9">
        <v>43507</v>
      </c>
      <c r="E632" s="10">
        <f t="shared" si="90"/>
        <v>644736</v>
      </c>
      <c r="F632" s="8">
        <v>47148</v>
      </c>
      <c r="G632" s="8">
        <v>6580</v>
      </c>
      <c r="H632" s="11">
        <f t="shared" si="91"/>
        <v>23574</v>
      </c>
      <c r="I632" s="11">
        <f t="shared" si="92"/>
        <v>9429.6</v>
      </c>
      <c r="J632" s="11">
        <f t="shared" si="93"/>
        <v>14144.400000000001</v>
      </c>
      <c r="K632" s="11">
        <f t="shared" si="94"/>
        <v>2828.88</v>
      </c>
      <c r="L632" s="8">
        <v>200</v>
      </c>
      <c r="M632" s="8">
        <f t="shared" si="95"/>
        <v>208</v>
      </c>
      <c r="N632" s="11">
        <v>2</v>
      </c>
      <c r="O632" s="11">
        <f t="shared" si="96"/>
        <v>113.33653846153847</v>
      </c>
      <c r="P632" s="11">
        <f t="shared" si="97"/>
        <v>226.67307692307693</v>
      </c>
      <c r="Q632" s="11">
        <f t="shared" si="98"/>
        <v>453.34615384615387</v>
      </c>
      <c r="R632" s="8">
        <v>50700</v>
      </c>
      <c r="S632" s="11">
        <f t="shared" si="99"/>
        <v>57280</v>
      </c>
      <c r="T632" s="20">
        <f>S632/median_percentile!$B$1</f>
        <v>1.1365417621556198</v>
      </c>
      <c r="U632" s="24" t="str" cm="1">
        <f t="array" ref="U632">_xlfn.IFS(T632&lt;1,"underpaid",T632&gt;1,"overpaid",T632=1,"median pay")</f>
        <v>overpaid</v>
      </c>
      <c r="V632" s="5"/>
    </row>
    <row r="633" spans="1:22" x14ac:dyDescent="0.3">
      <c r="A633" s="22" t="s">
        <v>644</v>
      </c>
      <c r="B633" s="12" t="s">
        <v>1643</v>
      </c>
      <c r="C633" s="12" t="s">
        <v>2014</v>
      </c>
      <c r="D633" s="13">
        <v>45895</v>
      </c>
      <c r="E633" s="14">
        <f t="shared" si="90"/>
        <v>901656</v>
      </c>
      <c r="F633" s="12">
        <v>64750</v>
      </c>
      <c r="G633" s="12">
        <v>10388</v>
      </c>
      <c r="H633" s="15">
        <f t="shared" si="91"/>
        <v>32375</v>
      </c>
      <c r="I633" s="15">
        <f t="shared" si="92"/>
        <v>12950</v>
      </c>
      <c r="J633" s="15">
        <f t="shared" si="93"/>
        <v>19425</v>
      </c>
      <c r="K633" s="15">
        <f t="shared" si="94"/>
        <v>3885</v>
      </c>
      <c r="L633" s="12">
        <v>200</v>
      </c>
      <c r="M633" s="12">
        <f t="shared" si="95"/>
        <v>208</v>
      </c>
      <c r="N633" s="15">
        <v>0</v>
      </c>
      <c r="O633" s="15">
        <f t="shared" si="96"/>
        <v>155.64903846153845</v>
      </c>
      <c r="P633" s="15">
        <f t="shared" si="97"/>
        <v>311.29807692307691</v>
      </c>
      <c r="Q633" s="15">
        <f t="shared" si="98"/>
        <v>0</v>
      </c>
      <c r="R633" s="12">
        <v>71053</v>
      </c>
      <c r="S633" s="15">
        <f t="shared" si="99"/>
        <v>81441</v>
      </c>
      <c r="T633" s="20">
        <f>S633/median_percentile!$B$1</f>
        <v>1.6159409506235305</v>
      </c>
      <c r="U633" s="24" t="str" cm="1">
        <f t="array" ref="U633">_xlfn.IFS(T633&lt;1,"underpaid",T633&gt;1,"overpaid",T633=1,"median pay")</f>
        <v>overpaid</v>
      </c>
      <c r="V633" s="5"/>
    </row>
    <row r="634" spans="1:22" x14ac:dyDescent="0.3">
      <c r="A634" s="21" t="s">
        <v>645</v>
      </c>
      <c r="B634" s="8" t="s">
        <v>1644</v>
      </c>
      <c r="C634" s="8" t="s">
        <v>2015</v>
      </c>
      <c r="D634" s="9">
        <v>45646</v>
      </c>
      <c r="E634" s="10">
        <f t="shared" si="90"/>
        <v>456564</v>
      </c>
      <c r="F634" s="8">
        <v>32081</v>
      </c>
      <c r="G634" s="8">
        <v>5966</v>
      </c>
      <c r="H634" s="11">
        <f t="shared" si="91"/>
        <v>16040.5</v>
      </c>
      <c r="I634" s="11">
        <f t="shared" si="92"/>
        <v>6416.2000000000007</v>
      </c>
      <c r="J634" s="11">
        <f t="shared" si="93"/>
        <v>9624.2999999999993</v>
      </c>
      <c r="K634" s="11">
        <f t="shared" si="94"/>
        <v>1924.86</v>
      </c>
      <c r="L634" s="8">
        <v>200</v>
      </c>
      <c r="M634" s="8">
        <f t="shared" si="95"/>
        <v>208</v>
      </c>
      <c r="N634" s="11">
        <v>1</v>
      </c>
      <c r="O634" s="11">
        <f t="shared" si="96"/>
        <v>77.117788461538467</v>
      </c>
      <c r="P634" s="11">
        <f t="shared" si="97"/>
        <v>154.23557692307693</v>
      </c>
      <c r="Q634" s="11">
        <f t="shared" si="98"/>
        <v>154.23557692307693</v>
      </c>
      <c r="R634" s="8">
        <v>35923</v>
      </c>
      <c r="S634" s="11">
        <f t="shared" si="99"/>
        <v>41889</v>
      </c>
      <c r="T634" s="20">
        <f>S634/median_percentile!$B$1</f>
        <v>0.83115568915741544</v>
      </c>
      <c r="U634" s="24" t="str" cm="1">
        <f t="array" ref="U634">_xlfn.IFS(T634&lt;1,"underpaid",T634&gt;1,"overpaid",T634=1,"median pay")</f>
        <v>underpaid</v>
      </c>
      <c r="V634" s="5"/>
    </row>
    <row r="635" spans="1:22" x14ac:dyDescent="0.3">
      <c r="A635" s="22" t="s">
        <v>646</v>
      </c>
      <c r="B635" s="12" t="s">
        <v>1645</v>
      </c>
      <c r="C635" s="12" t="s">
        <v>2013</v>
      </c>
      <c r="D635" s="13">
        <v>45872</v>
      </c>
      <c r="E635" s="14">
        <f t="shared" si="90"/>
        <v>470016</v>
      </c>
      <c r="F635" s="12">
        <v>35562</v>
      </c>
      <c r="G635" s="12">
        <v>3606</v>
      </c>
      <c r="H635" s="15">
        <f t="shared" si="91"/>
        <v>17781</v>
      </c>
      <c r="I635" s="15">
        <f t="shared" si="92"/>
        <v>7112.4000000000005</v>
      </c>
      <c r="J635" s="15">
        <f t="shared" si="93"/>
        <v>10668.599999999999</v>
      </c>
      <c r="K635" s="15">
        <f t="shared" si="94"/>
        <v>2133.7199999999998</v>
      </c>
      <c r="L635" s="12">
        <v>200</v>
      </c>
      <c r="M635" s="12">
        <f t="shared" si="95"/>
        <v>208</v>
      </c>
      <c r="N635" s="15">
        <v>3</v>
      </c>
      <c r="O635" s="15">
        <f t="shared" si="96"/>
        <v>85.48557692307692</v>
      </c>
      <c r="P635" s="15">
        <f t="shared" si="97"/>
        <v>170.97115384615384</v>
      </c>
      <c r="Q635" s="15">
        <f t="shared" si="98"/>
        <v>512.91346153846155</v>
      </c>
      <c r="R635" s="12">
        <v>37427</v>
      </c>
      <c r="S635" s="15">
        <f t="shared" si="99"/>
        <v>41033</v>
      </c>
      <c r="T635" s="20">
        <f>S635/median_percentile!$B$1</f>
        <v>0.81417105667827416</v>
      </c>
      <c r="U635" s="24" t="str" cm="1">
        <f t="array" ref="U635">_xlfn.IFS(T635&lt;1,"underpaid",T635&gt;1,"overpaid",T635=1,"median pay")</f>
        <v>underpaid</v>
      </c>
      <c r="V635" s="5"/>
    </row>
    <row r="636" spans="1:22" x14ac:dyDescent="0.3">
      <c r="A636" s="21" t="s">
        <v>647</v>
      </c>
      <c r="B636" s="8" t="s">
        <v>1646</v>
      </c>
      <c r="C636" s="8" t="s">
        <v>2014</v>
      </c>
      <c r="D636" s="9">
        <v>43676</v>
      </c>
      <c r="E636" s="10">
        <f t="shared" si="90"/>
        <v>751980</v>
      </c>
      <c r="F636" s="8">
        <v>55343</v>
      </c>
      <c r="G636" s="8">
        <v>7322</v>
      </c>
      <c r="H636" s="11">
        <f t="shared" si="91"/>
        <v>27671.5</v>
      </c>
      <c r="I636" s="11">
        <f t="shared" si="92"/>
        <v>11068.6</v>
      </c>
      <c r="J636" s="11">
        <f t="shared" si="93"/>
        <v>16602.900000000001</v>
      </c>
      <c r="K636" s="11">
        <f t="shared" si="94"/>
        <v>3320.58</v>
      </c>
      <c r="L636" s="8">
        <v>200</v>
      </c>
      <c r="M636" s="8">
        <f t="shared" si="95"/>
        <v>208</v>
      </c>
      <c r="N636" s="11">
        <v>5</v>
      </c>
      <c r="O636" s="11">
        <f t="shared" si="96"/>
        <v>133.03605769230768</v>
      </c>
      <c r="P636" s="11">
        <f t="shared" si="97"/>
        <v>266.07211538461536</v>
      </c>
      <c r="Q636" s="11">
        <f t="shared" si="98"/>
        <v>1330.3605769230767</v>
      </c>
      <c r="R636" s="8">
        <v>60067</v>
      </c>
      <c r="S636" s="11">
        <f t="shared" si="99"/>
        <v>67389</v>
      </c>
      <c r="T636" s="20">
        <f>S636/median_percentile!$B$1</f>
        <v>1.3371231286645435</v>
      </c>
      <c r="U636" s="24" t="str" cm="1">
        <f t="array" ref="U636">_xlfn.IFS(T636&lt;1,"underpaid",T636&gt;1,"overpaid",T636=1,"median pay")</f>
        <v>overpaid</v>
      </c>
      <c r="V636" s="5"/>
    </row>
    <row r="637" spans="1:22" x14ac:dyDescent="0.3">
      <c r="A637" s="22" t="s">
        <v>648</v>
      </c>
      <c r="B637" s="12" t="s">
        <v>1647</v>
      </c>
      <c r="C637" s="12" t="s">
        <v>2014</v>
      </c>
      <c r="D637" s="13">
        <v>45136</v>
      </c>
      <c r="E637" s="14">
        <f t="shared" si="90"/>
        <v>566172</v>
      </c>
      <c r="F637" s="12">
        <v>41940</v>
      </c>
      <c r="G637" s="12">
        <v>5241</v>
      </c>
      <c r="H637" s="15">
        <f t="shared" si="91"/>
        <v>20970</v>
      </c>
      <c r="I637" s="15">
        <f t="shared" si="92"/>
        <v>8388</v>
      </c>
      <c r="J637" s="15">
        <f t="shared" si="93"/>
        <v>12582</v>
      </c>
      <c r="K637" s="15">
        <f t="shared" si="94"/>
        <v>2516.4</v>
      </c>
      <c r="L637" s="12">
        <v>200</v>
      </c>
      <c r="M637" s="12">
        <f t="shared" si="95"/>
        <v>208</v>
      </c>
      <c r="N637" s="15">
        <v>0</v>
      </c>
      <c r="O637" s="15">
        <f t="shared" si="96"/>
        <v>100.81730769230769</v>
      </c>
      <c r="P637" s="15">
        <f t="shared" si="97"/>
        <v>201.63461538461539</v>
      </c>
      <c r="Q637" s="15">
        <f t="shared" si="98"/>
        <v>0</v>
      </c>
      <c r="R637" s="12">
        <v>45164</v>
      </c>
      <c r="S637" s="15">
        <f t="shared" si="99"/>
        <v>50405</v>
      </c>
      <c r="T637" s="20">
        <f>S637/median_percentile!$B$1</f>
        <v>1.0001289720924234</v>
      </c>
      <c r="U637" s="24" t="str" cm="1">
        <f t="array" ref="U637">_xlfn.IFS(T637&lt;1,"underpaid",T637&gt;1,"overpaid",T637=1,"median pay")</f>
        <v>overpaid</v>
      </c>
      <c r="V637" s="5"/>
    </row>
    <row r="638" spans="1:22" x14ac:dyDescent="0.3">
      <c r="A638" s="21" t="s">
        <v>649</v>
      </c>
      <c r="B638" s="8" t="s">
        <v>1648</v>
      </c>
      <c r="C638" s="8" t="s">
        <v>2011</v>
      </c>
      <c r="D638" s="9">
        <v>43867</v>
      </c>
      <c r="E638" s="10">
        <f t="shared" si="90"/>
        <v>405780</v>
      </c>
      <c r="F638" s="8">
        <v>30461</v>
      </c>
      <c r="G638" s="8">
        <v>3354</v>
      </c>
      <c r="H638" s="11">
        <f t="shared" si="91"/>
        <v>15230.5</v>
      </c>
      <c r="I638" s="11">
        <f t="shared" si="92"/>
        <v>6092.2000000000007</v>
      </c>
      <c r="J638" s="11">
        <f t="shared" si="93"/>
        <v>9138.2999999999993</v>
      </c>
      <c r="K638" s="11">
        <f t="shared" si="94"/>
        <v>1827.6599999999999</v>
      </c>
      <c r="L638" s="8">
        <v>200</v>
      </c>
      <c r="M638" s="8">
        <f t="shared" si="95"/>
        <v>208</v>
      </c>
      <c r="N638" s="11">
        <v>3</v>
      </c>
      <c r="O638" s="11">
        <f t="shared" si="96"/>
        <v>73.223557692307693</v>
      </c>
      <c r="P638" s="11">
        <f t="shared" si="97"/>
        <v>146.44711538461539</v>
      </c>
      <c r="Q638" s="11">
        <f t="shared" si="98"/>
        <v>439.34134615384619</v>
      </c>
      <c r="R638" s="8">
        <v>31788</v>
      </c>
      <c r="S638" s="11">
        <f t="shared" si="99"/>
        <v>35142</v>
      </c>
      <c r="T638" s="20">
        <f>S638/median_percentile!$B$1</f>
        <v>0.69728265722194116</v>
      </c>
      <c r="U638" s="24" t="str" cm="1">
        <f t="array" ref="U638">_xlfn.IFS(T638&lt;1,"underpaid",T638&gt;1,"overpaid",T638=1,"median pay")</f>
        <v>underpaid</v>
      </c>
      <c r="V638" s="5"/>
    </row>
    <row r="639" spans="1:22" x14ac:dyDescent="0.3">
      <c r="A639" s="22" t="s">
        <v>650</v>
      </c>
      <c r="B639" s="12" t="s">
        <v>1649</v>
      </c>
      <c r="C639" s="12" t="s">
        <v>2012</v>
      </c>
      <c r="D639" s="13">
        <v>44604</v>
      </c>
      <c r="E639" s="14">
        <f t="shared" si="90"/>
        <v>614100</v>
      </c>
      <c r="F639" s="12">
        <v>43943</v>
      </c>
      <c r="G639" s="12">
        <v>7232</v>
      </c>
      <c r="H639" s="15">
        <f t="shared" si="91"/>
        <v>21971.5</v>
      </c>
      <c r="I639" s="15">
        <f t="shared" si="92"/>
        <v>8788.6</v>
      </c>
      <c r="J639" s="15">
        <f t="shared" si="93"/>
        <v>13182.900000000001</v>
      </c>
      <c r="K639" s="15">
        <f t="shared" si="94"/>
        <v>2636.58</v>
      </c>
      <c r="L639" s="12">
        <v>200</v>
      </c>
      <c r="M639" s="12">
        <f t="shared" si="95"/>
        <v>208</v>
      </c>
      <c r="N639" s="15">
        <v>4</v>
      </c>
      <c r="O639" s="15">
        <f t="shared" si="96"/>
        <v>105.63221153846153</v>
      </c>
      <c r="P639" s="15">
        <f t="shared" si="97"/>
        <v>211.26442307692307</v>
      </c>
      <c r="Q639" s="15">
        <f t="shared" si="98"/>
        <v>845.05769230769226</v>
      </c>
      <c r="R639" s="12">
        <v>48339</v>
      </c>
      <c r="S639" s="15">
        <f t="shared" si="99"/>
        <v>55571</v>
      </c>
      <c r="T639" s="20">
        <f>S639/median_percentile!$B$1</f>
        <v>1.1026320227784556</v>
      </c>
      <c r="U639" s="24" t="str" cm="1">
        <f t="array" ref="U639">_xlfn.IFS(T639&lt;1,"underpaid",T639&gt;1,"overpaid",T639=1,"median pay")</f>
        <v>overpaid</v>
      </c>
      <c r="V639" s="5"/>
    </row>
    <row r="640" spans="1:22" x14ac:dyDescent="0.3">
      <c r="A640" s="21" t="s">
        <v>651</v>
      </c>
      <c r="B640" s="8" t="s">
        <v>1650</v>
      </c>
      <c r="C640" s="8" t="s">
        <v>2016</v>
      </c>
      <c r="D640" s="9">
        <v>45005</v>
      </c>
      <c r="E640" s="10">
        <f t="shared" si="90"/>
        <v>509016</v>
      </c>
      <c r="F640" s="8">
        <v>37399</v>
      </c>
      <c r="G640" s="8">
        <v>5019</v>
      </c>
      <c r="H640" s="11">
        <f t="shared" si="91"/>
        <v>18699.5</v>
      </c>
      <c r="I640" s="11">
        <f t="shared" si="92"/>
        <v>7479.8</v>
      </c>
      <c r="J640" s="11">
        <f t="shared" si="93"/>
        <v>11219.7</v>
      </c>
      <c r="K640" s="11">
        <f t="shared" si="94"/>
        <v>2243.94</v>
      </c>
      <c r="L640" s="8">
        <v>200</v>
      </c>
      <c r="M640" s="8">
        <f t="shared" si="95"/>
        <v>208</v>
      </c>
      <c r="N640" s="11">
        <v>5</v>
      </c>
      <c r="O640" s="11">
        <f t="shared" si="96"/>
        <v>89.901442307692307</v>
      </c>
      <c r="P640" s="11">
        <f t="shared" si="97"/>
        <v>179.80288461538461</v>
      </c>
      <c r="Q640" s="11">
        <f t="shared" si="98"/>
        <v>899.01442307692309</v>
      </c>
      <c r="R640" s="8">
        <v>39975</v>
      </c>
      <c r="S640" s="11">
        <f t="shared" si="99"/>
        <v>44994</v>
      </c>
      <c r="T640" s="20">
        <f>S640/median_percentile!$B$1</f>
        <v>0.89276466561504808</v>
      </c>
      <c r="U640" s="24" t="str" cm="1">
        <f t="array" ref="U640">_xlfn.IFS(T640&lt;1,"underpaid",T640&gt;1,"overpaid",T640=1,"median pay")</f>
        <v>underpaid</v>
      </c>
      <c r="V640" s="5"/>
    </row>
    <row r="641" spans="1:22" x14ac:dyDescent="0.3">
      <c r="A641" s="22" t="s">
        <v>652</v>
      </c>
      <c r="B641" s="12" t="s">
        <v>1651</v>
      </c>
      <c r="C641" s="12" t="s">
        <v>2015</v>
      </c>
      <c r="D641" s="13">
        <v>44156</v>
      </c>
      <c r="E641" s="14">
        <f t="shared" si="90"/>
        <v>406992</v>
      </c>
      <c r="F641" s="12">
        <v>29305</v>
      </c>
      <c r="G641" s="12">
        <v>4611</v>
      </c>
      <c r="H641" s="15">
        <f t="shared" si="91"/>
        <v>14652.5</v>
      </c>
      <c r="I641" s="15">
        <f t="shared" si="92"/>
        <v>5861</v>
      </c>
      <c r="J641" s="15">
        <f t="shared" si="93"/>
        <v>8791.5</v>
      </c>
      <c r="K641" s="15">
        <f t="shared" si="94"/>
        <v>1758.3</v>
      </c>
      <c r="L641" s="12">
        <v>200</v>
      </c>
      <c r="M641" s="12">
        <f t="shared" si="95"/>
        <v>208</v>
      </c>
      <c r="N641" s="15">
        <v>1</v>
      </c>
      <c r="O641" s="15">
        <f t="shared" si="96"/>
        <v>70.444711538461533</v>
      </c>
      <c r="P641" s="15">
        <f t="shared" si="97"/>
        <v>140.88942307692307</v>
      </c>
      <c r="Q641" s="15">
        <f t="shared" si="98"/>
        <v>140.88942307692307</v>
      </c>
      <c r="R641" s="12">
        <v>31958</v>
      </c>
      <c r="S641" s="15">
        <f t="shared" si="99"/>
        <v>36569</v>
      </c>
      <c r="T641" s="20">
        <f>S641/median_percentile!$B$1</f>
        <v>0.72559699197396743</v>
      </c>
      <c r="U641" s="24" t="str" cm="1">
        <f t="array" ref="U641">_xlfn.IFS(T641&lt;1,"underpaid",T641&gt;1,"overpaid",T641=1,"median pay")</f>
        <v>underpaid</v>
      </c>
      <c r="V641" s="5"/>
    </row>
    <row r="642" spans="1:22" x14ac:dyDescent="0.3">
      <c r="A642" s="21" t="s">
        <v>653</v>
      </c>
      <c r="B642" s="8" t="s">
        <v>1652</v>
      </c>
      <c r="C642" s="8" t="s">
        <v>2016</v>
      </c>
      <c r="D642" s="9">
        <v>45992</v>
      </c>
      <c r="E642" s="10">
        <f t="shared" ref="E642:E705" si="100">(F642*12)+(G642*12)</f>
        <v>457332</v>
      </c>
      <c r="F642" s="8">
        <v>32573</v>
      </c>
      <c r="G642" s="8">
        <v>5538</v>
      </c>
      <c r="H642" s="11">
        <f t="shared" ref="H642:H705" si="101">F642*50%</f>
        <v>16286.5</v>
      </c>
      <c r="I642" s="11">
        <f t="shared" ref="I642:I705" si="102">H642*40%</f>
        <v>6514.6</v>
      </c>
      <c r="J642" s="11">
        <f t="shared" ref="J642:J705" si="103">F642-(H642+I642)</f>
        <v>9771.9000000000015</v>
      </c>
      <c r="K642" s="11">
        <f t="shared" ref="K642:K705" si="104">H642*12%</f>
        <v>1954.3799999999999</v>
      </c>
      <c r="L642" s="8">
        <v>200</v>
      </c>
      <c r="M642" s="8">
        <f t="shared" si="95"/>
        <v>208</v>
      </c>
      <c r="N642" s="11">
        <v>5</v>
      </c>
      <c r="O642" s="11">
        <f t="shared" si="96"/>
        <v>78.300480769230774</v>
      </c>
      <c r="P642" s="11">
        <f t="shared" si="97"/>
        <v>156.60096153846155</v>
      </c>
      <c r="Q642" s="11">
        <f t="shared" si="98"/>
        <v>783.00480769230774</v>
      </c>
      <c r="R642" s="8">
        <v>36499</v>
      </c>
      <c r="S642" s="11">
        <f t="shared" si="99"/>
        <v>42037</v>
      </c>
      <c r="T642" s="20">
        <f>S642/median_percentile!$B$1</f>
        <v>0.83409228449259398</v>
      </c>
      <c r="U642" s="24" t="str" cm="1">
        <f t="array" ref="U642">_xlfn.IFS(T642&lt;1,"underpaid",T642&gt;1,"overpaid",T642=1,"median pay")</f>
        <v>underpaid</v>
      </c>
      <c r="V642" s="5"/>
    </row>
    <row r="643" spans="1:22" x14ac:dyDescent="0.3">
      <c r="A643" s="22" t="s">
        <v>654</v>
      </c>
      <c r="B643" s="12" t="s">
        <v>1653</v>
      </c>
      <c r="C643" s="12" t="s">
        <v>2012</v>
      </c>
      <c r="D643" s="13">
        <v>45739</v>
      </c>
      <c r="E643" s="14">
        <f t="shared" si="100"/>
        <v>439608</v>
      </c>
      <c r="F643" s="12">
        <v>32034</v>
      </c>
      <c r="G643" s="12">
        <v>4600</v>
      </c>
      <c r="H643" s="15">
        <f t="shared" si="101"/>
        <v>16017</v>
      </c>
      <c r="I643" s="15">
        <f t="shared" si="102"/>
        <v>6406.8</v>
      </c>
      <c r="J643" s="15">
        <f t="shared" si="103"/>
        <v>9610.2000000000007</v>
      </c>
      <c r="K643" s="15">
        <f t="shared" si="104"/>
        <v>1922.04</v>
      </c>
      <c r="L643" s="12">
        <v>200</v>
      </c>
      <c r="M643" s="12">
        <f t="shared" ref="M643:M706" si="105">8*26</f>
        <v>208</v>
      </c>
      <c r="N643" s="15">
        <v>5</v>
      </c>
      <c r="O643" s="15">
        <f t="shared" ref="O643:O706" si="106">H643/M643</f>
        <v>77.004807692307693</v>
      </c>
      <c r="P643" s="15">
        <f t="shared" ref="P643:P706" si="107">O643*2</f>
        <v>154.00961538461539</v>
      </c>
      <c r="Q643" s="15">
        <f t="shared" ref="Q643:Q706" si="108">P643*N643</f>
        <v>770.04807692307691</v>
      </c>
      <c r="R643" s="12">
        <v>34778</v>
      </c>
      <c r="S643" s="15">
        <f t="shared" ref="S643:T706" si="109">R643+G643</f>
        <v>39378</v>
      </c>
      <c r="T643" s="20">
        <f>S643/median_percentile!$B$1</f>
        <v>0.78133277776124288</v>
      </c>
      <c r="U643" s="24" t="str" cm="1">
        <f t="array" ref="U643">_xlfn.IFS(T643&lt;1,"underpaid",T643&gt;1,"overpaid",T643=1,"median pay")</f>
        <v>underpaid</v>
      </c>
      <c r="V643" s="5"/>
    </row>
    <row r="644" spans="1:22" x14ac:dyDescent="0.3">
      <c r="A644" s="21" t="s">
        <v>655</v>
      </c>
      <c r="B644" s="8" t="s">
        <v>1654</v>
      </c>
      <c r="C644" s="8" t="s">
        <v>2016</v>
      </c>
      <c r="D644" s="9">
        <v>44757</v>
      </c>
      <c r="E644" s="10">
        <f t="shared" si="100"/>
        <v>403008</v>
      </c>
      <c r="F644" s="8">
        <v>29151</v>
      </c>
      <c r="G644" s="8">
        <v>4433</v>
      </c>
      <c r="H644" s="11">
        <f t="shared" si="101"/>
        <v>14575.5</v>
      </c>
      <c r="I644" s="11">
        <f t="shared" si="102"/>
        <v>5830.2000000000007</v>
      </c>
      <c r="J644" s="11">
        <f t="shared" si="103"/>
        <v>8745.2999999999993</v>
      </c>
      <c r="K644" s="11">
        <f t="shared" si="104"/>
        <v>1749.06</v>
      </c>
      <c r="L644" s="8">
        <v>200</v>
      </c>
      <c r="M644" s="8">
        <f t="shared" si="105"/>
        <v>208</v>
      </c>
      <c r="N644" s="11">
        <v>2</v>
      </c>
      <c r="O644" s="11">
        <f t="shared" si="106"/>
        <v>70.074519230769226</v>
      </c>
      <c r="P644" s="11">
        <f t="shared" si="107"/>
        <v>140.14903846153845</v>
      </c>
      <c r="Q644" s="11">
        <f t="shared" si="108"/>
        <v>280.29807692307691</v>
      </c>
      <c r="R644" s="8">
        <v>31635</v>
      </c>
      <c r="S644" s="11">
        <f t="shared" si="109"/>
        <v>36068</v>
      </c>
      <c r="T644" s="20">
        <f>S644/median_percentile!$B$1</f>
        <v>0.71565621992718043</v>
      </c>
      <c r="U644" s="24" t="str" cm="1">
        <f t="array" ref="U644">_xlfn.IFS(T644&lt;1,"underpaid",T644&gt;1,"overpaid",T644=1,"median pay")</f>
        <v>underpaid</v>
      </c>
      <c r="V644" s="5"/>
    </row>
    <row r="645" spans="1:22" x14ac:dyDescent="0.3">
      <c r="A645" s="22" t="s">
        <v>656</v>
      </c>
      <c r="B645" s="12" t="s">
        <v>1655</v>
      </c>
      <c r="C645" s="12" t="s">
        <v>2012</v>
      </c>
      <c r="D645" s="13">
        <v>43985</v>
      </c>
      <c r="E645" s="14">
        <f t="shared" si="100"/>
        <v>515208</v>
      </c>
      <c r="F645" s="12">
        <v>38594</v>
      </c>
      <c r="G645" s="12">
        <v>4340</v>
      </c>
      <c r="H645" s="15">
        <f t="shared" si="101"/>
        <v>19297</v>
      </c>
      <c r="I645" s="15">
        <f t="shared" si="102"/>
        <v>7718.8</v>
      </c>
      <c r="J645" s="15">
        <f t="shared" si="103"/>
        <v>11578.2</v>
      </c>
      <c r="K645" s="15">
        <f t="shared" si="104"/>
        <v>2315.64</v>
      </c>
      <c r="L645" s="12">
        <v>200</v>
      </c>
      <c r="M645" s="12">
        <f t="shared" si="105"/>
        <v>208</v>
      </c>
      <c r="N645" s="15">
        <v>0</v>
      </c>
      <c r="O645" s="15">
        <f t="shared" si="106"/>
        <v>92.774038461538467</v>
      </c>
      <c r="P645" s="15">
        <f t="shared" si="107"/>
        <v>185.54807692307693</v>
      </c>
      <c r="Q645" s="15">
        <f t="shared" si="108"/>
        <v>0</v>
      </c>
      <c r="R645" s="12">
        <v>40740</v>
      </c>
      <c r="S645" s="15">
        <f t="shared" si="109"/>
        <v>45080</v>
      </c>
      <c r="T645" s="20">
        <f>S645/median_percentile!$B$1</f>
        <v>0.89447106560711132</v>
      </c>
      <c r="U645" s="24" t="str" cm="1">
        <f t="array" ref="U645">_xlfn.IFS(T645&lt;1,"underpaid",T645&gt;1,"overpaid",T645=1,"median pay")</f>
        <v>underpaid</v>
      </c>
      <c r="V645" s="5"/>
    </row>
    <row r="646" spans="1:22" x14ac:dyDescent="0.3">
      <c r="A646" s="21" t="s">
        <v>657</v>
      </c>
      <c r="B646" s="8" t="s">
        <v>1656</v>
      </c>
      <c r="C646" s="8" t="s">
        <v>2013</v>
      </c>
      <c r="D646" s="9">
        <v>44158</v>
      </c>
      <c r="E646" s="10">
        <f t="shared" si="100"/>
        <v>711516</v>
      </c>
      <c r="F646" s="8">
        <v>52531</v>
      </c>
      <c r="G646" s="8">
        <v>6762</v>
      </c>
      <c r="H646" s="11">
        <f t="shared" si="101"/>
        <v>26265.5</v>
      </c>
      <c r="I646" s="11">
        <f t="shared" si="102"/>
        <v>10506.2</v>
      </c>
      <c r="J646" s="11">
        <f t="shared" si="103"/>
        <v>15759.300000000003</v>
      </c>
      <c r="K646" s="11">
        <f t="shared" si="104"/>
        <v>3151.8599999999997</v>
      </c>
      <c r="L646" s="8">
        <v>200</v>
      </c>
      <c r="M646" s="8">
        <f t="shared" si="105"/>
        <v>208</v>
      </c>
      <c r="N646" s="11">
        <v>0</v>
      </c>
      <c r="O646" s="11">
        <f t="shared" si="106"/>
        <v>126.27644230769231</v>
      </c>
      <c r="P646" s="11">
        <f t="shared" si="107"/>
        <v>252.55288461538461</v>
      </c>
      <c r="Q646" s="11">
        <f t="shared" si="108"/>
        <v>0</v>
      </c>
      <c r="R646" s="8">
        <v>56817</v>
      </c>
      <c r="S646" s="11">
        <f t="shared" si="109"/>
        <v>63579</v>
      </c>
      <c r="T646" s="20">
        <f>S646/median_percentile!$B$1</f>
        <v>1.2615256406440667</v>
      </c>
      <c r="U646" s="24" t="str" cm="1">
        <f t="array" ref="U646">_xlfn.IFS(T646&lt;1,"underpaid",T646&gt;1,"overpaid",T646=1,"median pay")</f>
        <v>overpaid</v>
      </c>
      <c r="V646" s="5"/>
    </row>
    <row r="647" spans="1:22" x14ac:dyDescent="0.3">
      <c r="A647" s="22" t="s">
        <v>658</v>
      </c>
      <c r="B647" s="12" t="s">
        <v>1657</v>
      </c>
      <c r="C647" s="12" t="s">
        <v>2015</v>
      </c>
      <c r="D647" s="13">
        <v>45913</v>
      </c>
      <c r="E647" s="14">
        <f t="shared" si="100"/>
        <v>344592</v>
      </c>
      <c r="F647" s="12">
        <v>25258</v>
      </c>
      <c r="G647" s="12">
        <v>3458</v>
      </c>
      <c r="H647" s="15">
        <f t="shared" si="101"/>
        <v>12629</v>
      </c>
      <c r="I647" s="15">
        <f t="shared" si="102"/>
        <v>5051.6000000000004</v>
      </c>
      <c r="J647" s="15">
        <f t="shared" si="103"/>
        <v>7577.4000000000015</v>
      </c>
      <c r="K647" s="15">
        <f t="shared" si="104"/>
        <v>1515.48</v>
      </c>
      <c r="L647" s="12">
        <v>200</v>
      </c>
      <c r="M647" s="12">
        <f t="shared" si="105"/>
        <v>208</v>
      </c>
      <c r="N647" s="15">
        <v>1</v>
      </c>
      <c r="O647" s="15">
        <f t="shared" si="106"/>
        <v>60.716346153846153</v>
      </c>
      <c r="P647" s="15">
        <f t="shared" si="107"/>
        <v>121.43269230769231</v>
      </c>
      <c r="Q647" s="15">
        <f t="shared" si="108"/>
        <v>121.43269230769231</v>
      </c>
      <c r="R647" s="12">
        <v>27421</v>
      </c>
      <c r="S647" s="15">
        <f t="shared" si="109"/>
        <v>30879</v>
      </c>
      <c r="T647" s="20">
        <f>S647/median_percentile!$B$1</f>
        <v>0.61269680645257296</v>
      </c>
      <c r="U647" s="24" t="str" cm="1">
        <f t="array" ref="U647">_xlfn.IFS(T647&lt;1,"underpaid",T647&gt;1,"overpaid",T647=1,"median pay")</f>
        <v>underpaid</v>
      </c>
      <c r="V647" s="5"/>
    </row>
    <row r="648" spans="1:22" x14ac:dyDescent="0.3">
      <c r="A648" s="21" t="s">
        <v>659</v>
      </c>
      <c r="B648" s="8" t="s">
        <v>1658</v>
      </c>
      <c r="C648" s="8" t="s">
        <v>2016</v>
      </c>
      <c r="D648" s="9">
        <v>44949</v>
      </c>
      <c r="E648" s="10">
        <f t="shared" si="100"/>
        <v>548880</v>
      </c>
      <c r="F648" s="8">
        <v>39892</v>
      </c>
      <c r="G648" s="8">
        <v>5848</v>
      </c>
      <c r="H648" s="11">
        <f t="shared" si="101"/>
        <v>19946</v>
      </c>
      <c r="I648" s="11">
        <f t="shared" si="102"/>
        <v>7978.4000000000005</v>
      </c>
      <c r="J648" s="11">
        <f t="shared" si="103"/>
        <v>11967.599999999999</v>
      </c>
      <c r="K648" s="11">
        <f t="shared" si="104"/>
        <v>2393.52</v>
      </c>
      <c r="L648" s="8">
        <v>200</v>
      </c>
      <c r="M648" s="8">
        <f t="shared" si="105"/>
        <v>208</v>
      </c>
      <c r="N648" s="11">
        <v>0</v>
      </c>
      <c r="O648" s="11">
        <f t="shared" si="106"/>
        <v>95.894230769230774</v>
      </c>
      <c r="P648" s="11">
        <f t="shared" si="107"/>
        <v>191.78846153846155</v>
      </c>
      <c r="Q648" s="11">
        <f t="shared" si="108"/>
        <v>0</v>
      </c>
      <c r="R648" s="8">
        <v>43479</v>
      </c>
      <c r="S648" s="11">
        <f t="shared" si="109"/>
        <v>49327</v>
      </c>
      <c r="T648" s="20">
        <f>S648/median_percentile!$B$1</f>
        <v>0.97873944661051415</v>
      </c>
      <c r="U648" s="24" t="str" cm="1">
        <f t="array" ref="U648">_xlfn.IFS(T648&lt;1,"underpaid",T648&gt;1,"overpaid",T648=1,"median pay")</f>
        <v>underpaid</v>
      </c>
      <c r="V648" s="5"/>
    </row>
    <row r="649" spans="1:22" x14ac:dyDescent="0.3">
      <c r="A649" s="22" t="s">
        <v>660</v>
      </c>
      <c r="B649" s="12" t="s">
        <v>1659</v>
      </c>
      <c r="C649" s="12" t="s">
        <v>2012</v>
      </c>
      <c r="D649" s="13">
        <v>45861</v>
      </c>
      <c r="E649" s="14">
        <f t="shared" si="100"/>
        <v>656256</v>
      </c>
      <c r="F649" s="12">
        <v>47179</v>
      </c>
      <c r="G649" s="12">
        <v>7509</v>
      </c>
      <c r="H649" s="15">
        <f t="shared" si="101"/>
        <v>23589.5</v>
      </c>
      <c r="I649" s="15">
        <f t="shared" si="102"/>
        <v>9435.8000000000011</v>
      </c>
      <c r="J649" s="15">
        <f t="shared" si="103"/>
        <v>14153.699999999997</v>
      </c>
      <c r="K649" s="15">
        <f t="shared" si="104"/>
        <v>2830.74</v>
      </c>
      <c r="L649" s="12">
        <v>200</v>
      </c>
      <c r="M649" s="12">
        <f t="shared" si="105"/>
        <v>208</v>
      </c>
      <c r="N649" s="15">
        <v>0</v>
      </c>
      <c r="O649" s="15">
        <f t="shared" si="106"/>
        <v>113.41105769230769</v>
      </c>
      <c r="P649" s="15">
        <f t="shared" si="107"/>
        <v>226.82211538461539</v>
      </c>
      <c r="Q649" s="15">
        <f t="shared" si="108"/>
        <v>0</v>
      </c>
      <c r="R649" s="12">
        <v>51658</v>
      </c>
      <c r="S649" s="15">
        <f t="shared" si="109"/>
        <v>59167</v>
      </c>
      <c r="T649" s="20">
        <f>S649/median_percentile!$B$1</f>
        <v>1.1739833526791472</v>
      </c>
      <c r="U649" s="24" t="str" cm="1">
        <f t="array" ref="U649">_xlfn.IFS(T649&lt;1,"underpaid",T649&gt;1,"overpaid",T649=1,"median pay")</f>
        <v>overpaid</v>
      </c>
      <c r="V649" s="5"/>
    </row>
    <row r="650" spans="1:22" x14ac:dyDescent="0.3">
      <c r="A650" s="21" t="s">
        <v>661</v>
      </c>
      <c r="B650" s="8" t="s">
        <v>1660</v>
      </c>
      <c r="C650" s="8" t="s">
        <v>2013</v>
      </c>
      <c r="D650" s="9">
        <v>43644</v>
      </c>
      <c r="E650" s="10">
        <f t="shared" si="100"/>
        <v>688200</v>
      </c>
      <c r="F650" s="8">
        <v>49480</v>
      </c>
      <c r="G650" s="8">
        <v>7870</v>
      </c>
      <c r="H650" s="11">
        <f t="shared" si="101"/>
        <v>24740</v>
      </c>
      <c r="I650" s="11">
        <f t="shared" si="102"/>
        <v>9896</v>
      </c>
      <c r="J650" s="11">
        <f t="shared" si="103"/>
        <v>14844</v>
      </c>
      <c r="K650" s="11">
        <f t="shared" si="104"/>
        <v>2968.7999999999997</v>
      </c>
      <c r="L650" s="8">
        <v>200</v>
      </c>
      <c r="M650" s="8">
        <f t="shared" si="105"/>
        <v>208</v>
      </c>
      <c r="N650" s="11">
        <v>1</v>
      </c>
      <c r="O650" s="11">
        <f t="shared" si="106"/>
        <v>118.94230769230769</v>
      </c>
      <c r="P650" s="11">
        <f t="shared" si="107"/>
        <v>237.88461538461539</v>
      </c>
      <c r="Q650" s="11">
        <f t="shared" si="108"/>
        <v>237.88461538461539</v>
      </c>
      <c r="R650" s="8">
        <v>54182</v>
      </c>
      <c r="S650" s="11">
        <f t="shared" si="109"/>
        <v>62052</v>
      </c>
      <c r="T650" s="20">
        <f>S650/median_percentile!$B$1</f>
        <v>1.2312271198547575</v>
      </c>
      <c r="U650" s="24" t="str" cm="1">
        <f t="array" ref="U650">_xlfn.IFS(T650&lt;1,"underpaid",T650&gt;1,"overpaid",T650=1,"median pay")</f>
        <v>overpaid</v>
      </c>
      <c r="V650" s="5"/>
    </row>
    <row r="651" spans="1:22" x14ac:dyDescent="0.3">
      <c r="A651" s="22" t="s">
        <v>662</v>
      </c>
      <c r="B651" s="12" t="s">
        <v>1661</v>
      </c>
      <c r="C651" s="12" t="s">
        <v>2011</v>
      </c>
      <c r="D651" s="13">
        <v>45487</v>
      </c>
      <c r="E651" s="14">
        <f t="shared" si="100"/>
        <v>534168</v>
      </c>
      <c r="F651" s="12">
        <v>37686</v>
      </c>
      <c r="G651" s="12">
        <v>6828</v>
      </c>
      <c r="H651" s="15">
        <f t="shared" si="101"/>
        <v>18843</v>
      </c>
      <c r="I651" s="15">
        <f t="shared" si="102"/>
        <v>7537.2000000000007</v>
      </c>
      <c r="J651" s="15">
        <f t="shared" si="103"/>
        <v>11305.8</v>
      </c>
      <c r="K651" s="15">
        <f t="shared" si="104"/>
        <v>2261.16</v>
      </c>
      <c r="L651" s="12">
        <v>200</v>
      </c>
      <c r="M651" s="12">
        <f t="shared" si="105"/>
        <v>208</v>
      </c>
      <c r="N651" s="15">
        <v>5</v>
      </c>
      <c r="O651" s="15">
        <f t="shared" si="106"/>
        <v>90.59134615384616</v>
      </c>
      <c r="P651" s="15">
        <f t="shared" si="107"/>
        <v>181.18269230769232</v>
      </c>
      <c r="Q651" s="15">
        <f t="shared" si="108"/>
        <v>905.91346153846166</v>
      </c>
      <c r="R651" s="12">
        <v>42053</v>
      </c>
      <c r="S651" s="15">
        <f t="shared" si="109"/>
        <v>48881</v>
      </c>
      <c r="T651" s="20">
        <f>S651/median_percentile!$B$1</f>
        <v>0.96988997688423262</v>
      </c>
      <c r="U651" s="24" t="str" cm="1">
        <f t="array" ref="U651">_xlfn.IFS(T651&lt;1,"underpaid",T651&gt;1,"overpaid",T651=1,"median pay")</f>
        <v>underpaid</v>
      </c>
      <c r="V651" s="5"/>
    </row>
    <row r="652" spans="1:22" x14ac:dyDescent="0.3">
      <c r="A652" s="21" t="s">
        <v>663</v>
      </c>
      <c r="B652" s="8" t="s">
        <v>1662</v>
      </c>
      <c r="C652" s="8" t="s">
        <v>2016</v>
      </c>
      <c r="D652" s="9">
        <v>45220</v>
      </c>
      <c r="E652" s="10">
        <f t="shared" si="100"/>
        <v>618900</v>
      </c>
      <c r="F652" s="8">
        <v>46627</v>
      </c>
      <c r="G652" s="8">
        <v>4948</v>
      </c>
      <c r="H652" s="11">
        <f t="shared" si="101"/>
        <v>23313.5</v>
      </c>
      <c r="I652" s="11">
        <f t="shared" si="102"/>
        <v>9325.4</v>
      </c>
      <c r="J652" s="11">
        <f t="shared" si="103"/>
        <v>13988.099999999999</v>
      </c>
      <c r="K652" s="11">
        <f t="shared" si="104"/>
        <v>2797.62</v>
      </c>
      <c r="L652" s="8">
        <v>200</v>
      </c>
      <c r="M652" s="8">
        <f t="shared" si="105"/>
        <v>208</v>
      </c>
      <c r="N652" s="11">
        <v>5</v>
      </c>
      <c r="O652" s="11">
        <f t="shared" si="106"/>
        <v>112.08413461538461</v>
      </c>
      <c r="P652" s="11">
        <f t="shared" si="107"/>
        <v>224.16826923076923</v>
      </c>
      <c r="Q652" s="11">
        <f t="shared" si="108"/>
        <v>1120.8413461538462</v>
      </c>
      <c r="R652" s="8">
        <v>48966</v>
      </c>
      <c r="S652" s="11">
        <f t="shared" si="109"/>
        <v>53914</v>
      </c>
      <c r="T652" s="20">
        <f>S652/median_percentile!$B$1</f>
        <v>1.0697540601406788</v>
      </c>
      <c r="U652" s="24" t="str" cm="1">
        <f t="array" ref="U652">_xlfn.IFS(T652&lt;1,"underpaid",T652&gt;1,"overpaid",T652=1,"median pay")</f>
        <v>overpaid</v>
      </c>
      <c r="V652" s="5"/>
    </row>
    <row r="653" spans="1:22" x14ac:dyDescent="0.3">
      <c r="A653" s="22" t="s">
        <v>664</v>
      </c>
      <c r="B653" s="12" t="s">
        <v>1663</v>
      </c>
      <c r="C653" s="12" t="s">
        <v>2012</v>
      </c>
      <c r="D653" s="13">
        <v>44474</v>
      </c>
      <c r="E653" s="14">
        <f t="shared" si="100"/>
        <v>530028</v>
      </c>
      <c r="F653" s="12">
        <v>38530</v>
      </c>
      <c r="G653" s="12">
        <v>5639</v>
      </c>
      <c r="H653" s="15">
        <f t="shared" si="101"/>
        <v>19265</v>
      </c>
      <c r="I653" s="15">
        <f t="shared" si="102"/>
        <v>7706</v>
      </c>
      <c r="J653" s="15">
        <f t="shared" si="103"/>
        <v>11559</v>
      </c>
      <c r="K653" s="15">
        <f t="shared" si="104"/>
        <v>2311.7999999999997</v>
      </c>
      <c r="L653" s="12">
        <v>200</v>
      </c>
      <c r="M653" s="12">
        <f t="shared" si="105"/>
        <v>208</v>
      </c>
      <c r="N653" s="15">
        <v>2</v>
      </c>
      <c r="O653" s="15">
        <f t="shared" si="106"/>
        <v>92.620192307692307</v>
      </c>
      <c r="P653" s="15">
        <f t="shared" si="107"/>
        <v>185.24038461538461</v>
      </c>
      <c r="Q653" s="15">
        <f t="shared" si="108"/>
        <v>370.48076923076923</v>
      </c>
      <c r="R653" s="12">
        <v>41979</v>
      </c>
      <c r="S653" s="15">
        <f t="shared" si="109"/>
        <v>47618</v>
      </c>
      <c r="T653" s="20">
        <f>S653/median_percentile!$B$1</f>
        <v>0.94482970723335025</v>
      </c>
      <c r="U653" s="24" t="str" cm="1">
        <f t="array" ref="U653">_xlfn.IFS(T653&lt;1,"underpaid",T653&gt;1,"overpaid",T653=1,"median pay")</f>
        <v>underpaid</v>
      </c>
      <c r="V653" s="5"/>
    </row>
    <row r="654" spans="1:22" x14ac:dyDescent="0.3">
      <c r="A654" s="21" t="s">
        <v>665</v>
      </c>
      <c r="B654" s="8" t="s">
        <v>1664</v>
      </c>
      <c r="C654" s="8" t="s">
        <v>2013</v>
      </c>
      <c r="D654" s="9">
        <v>44460</v>
      </c>
      <c r="E654" s="10">
        <f t="shared" si="100"/>
        <v>559908</v>
      </c>
      <c r="F654" s="8">
        <v>42278</v>
      </c>
      <c r="G654" s="8">
        <v>4381</v>
      </c>
      <c r="H654" s="11">
        <f t="shared" si="101"/>
        <v>21139</v>
      </c>
      <c r="I654" s="11">
        <f t="shared" si="102"/>
        <v>8455.6</v>
      </c>
      <c r="J654" s="11">
        <f t="shared" si="103"/>
        <v>12683.400000000001</v>
      </c>
      <c r="K654" s="11">
        <f t="shared" si="104"/>
        <v>2536.6799999999998</v>
      </c>
      <c r="L654" s="8">
        <v>200</v>
      </c>
      <c r="M654" s="8">
        <f t="shared" si="105"/>
        <v>208</v>
      </c>
      <c r="N654" s="11">
        <v>1</v>
      </c>
      <c r="O654" s="11">
        <f t="shared" si="106"/>
        <v>101.62980769230769</v>
      </c>
      <c r="P654" s="11">
        <f t="shared" si="107"/>
        <v>203.25961538461539</v>
      </c>
      <c r="Q654" s="11">
        <f t="shared" si="108"/>
        <v>203.25961538461539</v>
      </c>
      <c r="R654" s="8">
        <v>43923</v>
      </c>
      <c r="S654" s="11">
        <f t="shared" si="109"/>
        <v>48304</v>
      </c>
      <c r="T654" s="20">
        <f>S654/median_percentile!$B$1</f>
        <v>0.95844122344911054</v>
      </c>
      <c r="U654" s="24" t="str" cm="1">
        <f t="array" ref="U654">_xlfn.IFS(T654&lt;1,"underpaid",T654&gt;1,"overpaid",T654=1,"median pay")</f>
        <v>underpaid</v>
      </c>
      <c r="V654" s="5"/>
    </row>
    <row r="655" spans="1:22" x14ac:dyDescent="0.3">
      <c r="A655" s="22" t="s">
        <v>666</v>
      </c>
      <c r="B655" s="12" t="s">
        <v>1665</v>
      </c>
      <c r="C655" s="12" t="s">
        <v>2016</v>
      </c>
      <c r="D655" s="13">
        <v>44023</v>
      </c>
      <c r="E655" s="14">
        <f t="shared" si="100"/>
        <v>361032</v>
      </c>
      <c r="F655" s="12">
        <v>26082</v>
      </c>
      <c r="G655" s="12">
        <v>4004</v>
      </c>
      <c r="H655" s="15">
        <f t="shared" si="101"/>
        <v>13041</v>
      </c>
      <c r="I655" s="15">
        <f t="shared" si="102"/>
        <v>5216.4000000000005</v>
      </c>
      <c r="J655" s="15">
        <f t="shared" si="103"/>
        <v>7824.5999999999985</v>
      </c>
      <c r="K655" s="15">
        <f t="shared" si="104"/>
        <v>1564.9199999999998</v>
      </c>
      <c r="L655" s="12">
        <v>200</v>
      </c>
      <c r="M655" s="12">
        <f t="shared" si="105"/>
        <v>208</v>
      </c>
      <c r="N655" s="15">
        <v>1</v>
      </c>
      <c r="O655" s="15">
        <f t="shared" si="106"/>
        <v>62.697115384615387</v>
      </c>
      <c r="P655" s="15">
        <f t="shared" si="107"/>
        <v>125.39423076923077</v>
      </c>
      <c r="Q655" s="15">
        <f t="shared" si="108"/>
        <v>125.39423076923077</v>
      </c>
      <c r="R655" s="12">
        <v>28756</v>
      </c>
      <c r="S655" s="15">
        <f t="shared" si="109"/>
        <v>32760</v>
      </c>
      <c r="T655" s="20">
        <f>S655/median_percentile!$B$1</f>
        <v>0.65001934581386356</v>
      </c>
      <c r="U655" s="24" t="str" cm="1">
        <f t="array" ref="U655">_xlfn.IFS(T655&lt;1,"underpaid",T655&gt;1,"overpaid",T655=1,"median pay")</f>
        <v>underpaid</v>
      </c>
      <c r="V655" s="5"/>
    </row>
    <row r="656" spans="1:22" x14ac:dyDescent="0.3">
      <c r="A656" s="21" t="s">
        <v>667</v>
      </c>
      <c r="B656" s="8" t="s">
        <v>1666</v>
      </c>
      <c r="C656" s="8" t="s">
        <v>2016</v>
      </c>
      <c r="D656" s="9">
        <v>45066</v>
      </c>
      <c r="E656" s="10">
        <f t="shared" si="100"/>
        <v>467556</v>
      </c>
      <c r="F656" s="8">
        <v>35290</v>
      </c>
      <c r="G656" s="8">
        <v>3673</v>
      </c>
      <c r="H656" s="11">
        <f t="shared" si="101"/>
        <v>17645</v>
      </c>
      <c r="I656" s="11">
        <f t="shared" si="102"/>
        <v>7058</v>
      </c>
      <c r="J656" s="11">
        <f t="shared" si="103"/>
        <v>10587</v>
      </c>
      <c r="K656" s="11">
        <f t="shared" si="104"/>
        <v>2117.4</v>
      </c>
      <c r="L656" s="8">
        <v>200</v>
      </c>
      <c r="M656" s="8">
        <f t="shared" si="105"/>
        <v>208</v>
      </c>
      <c r="N656" s="11">
        <v>0</v>
      </c>
      <c r="O656" s="11">
        <f t="shared" si="106"/>
        <v>84.831730769230774</v>
      </c>
      <c r="P656" s="11">
        <f t="shared" si="107"/>
        <v>169.66346153846155</v>
      </c>
      <c r="Q656" s="11">
        <f t="shared" si="108"/>
        <v>0</v>
      </c>
      <c r="R656" s="8">
        <v>36646</v>
      </c>
      <c r="S656" s="11">
        <f t="shared" si="109"/>
        <v>40319</v>
      </c>
      <c r="T656" s="20">
        <f>S656/median_percentile!$B$1</f>
        <v>0.80000396837207455</v>
      </c>
      <c r="U656" s="24" t="str" cm="1">
        <f t="array" ref="U656">_xlfn.IFS(T656&lt;1,"underpaid",T656&gt;1,"overpaid",T656=1,"median pay")</f>
        <v>underpaid</v>
      </c>
      <c r="V656" s="5"/>
    </row>
    <row r="657" spans="1:22" x14ac:dyDescent="0.3">
      <c r="A657" s="22" t="s">
        <v>668</v>
      </c>
      <c r="B657" s="12" t="s">
        <v>1667</v>
      </c>
      <c r="C657" s="12" t="s">
        <v>2013</v>
      </c>
      <c r="D657" s="13">
        <v>44766</v>
      </c>
      <c r="E657" s="14">
        <f t="shared" si="100"/>
        <v>761868</v>
      </c>
      <c r="F657" s="12">
        <v>52914</v>
      </c>
      <c r="G657" s="12">
        <v>10575</v>
      </c>
      <c r="H657" s="15">
        <f t="shared" si="101"/>
        <v>26457</v>
      </c>
      <c r="I657" s="15">
        <f t="shared" si="102"/>
        <v>10582.800000000001</v>
      </c>
      <c r="J657" s="15">
        <f t="shared" si="103"/>
        <v>15874.199999999997</v>
      </c>
      <c r="K657" s="15">
        <f t="shared" si="104"/>
        <v>3174.8399999999997</v>
      </c>
      <c r="L657" s="12">
        <v>200</v>
      </c>
      <c r="M657" s="12">
        <f t="shared" si="105"/>
        <v>208</v>
      </c>
      <c r="N657" s="15">
        <v>3</v>
      </c>
      <c r="O657" s="15">
        <f t="shared" si="106"/>
        <v>127.19711538461539</v>
      </c>
      <c r="P657" s="15">
        <f t="shared" si="107"/>
        <v>254.39423076923077</v>
      </c>
      <c r="Q657" s="15">
        <f t="shared" si="108"/>
        <v>763.18269230769238</v>
      </c>
      <c r="R657" s="12">
        <v>60115</v>
      </c>
      <c r="S657" s="15">
        <f t="shared" si="109"/>
        <v>70690</v>
      </c>
      <c r="T657" s="20">
        <f>S657/median_percentile!$B$1</f>
        <v>1.4026211097552506</v>
      </c>
      <c r="U657" s="24" t="str" cm="1">
        <f t="array" ref="U657">_xlfn.IFS(T657&lt;1,"underpaid",T657&gt;1,"overpaid",T657=1,"median pay")</f>
        <v>overpaid</v>
      </c>
      <c r="V657" s="5"/>
    </row>
    <row r="658" spans="1:22" x14ac:dyDescent="0.3">
      <c r="A658" s="21" t="s">
        <v>669</v>
      </c>
      <c r="B658" s="8" t="s">
        <v>1668</v>
      </c>
      <c r="C658" s="8" t="s">
        <v>2012</v>
      </c>
      <c r="D658" s="9">
        <v>43871</v>
      </c>
      <c r="E658" s="10">
        <f t="shared" si="100"/>
        <v>414408</v>
      </c>
      <c r="F658" s="8">
        <v>29130</v>
      </c>
      <c r="G658" s="8">
        <v>5404</v>
      </c>
      <c r="H658" s="11">
        <f t="shared" si="101"/>
        <v>14565</v>
      </c>
      <c r="I658" s="11">
        <f t="shared" si="102"/>
        <v>5826</v>
      </c>
      <c r="J658" s="11">
        <f t="shared" si="103"/>
        <v>8739</v>
      </c>
      <c r="K658" s="11">
        <f t="shared" si="104"/>
        <v>1747.8</v>
      </c>
      <c r="L658" s="8">
        <v>200</v>
      </c>
      <c r="M658" s="8">
        <f t="shared" si="105"/>
        <v>208</v>
      </c>
      <c r="N658" s="11">
        <v>1</v>
      </c>
      <c r="O658" s="11">
        <f t="shared" si="106"/>
        <v>70.024038461538467</v>
      </c>
      <c r="P658" s="11">
        <f t="shared" si="107"/>
        <v>140.04807692307693</v>
      </c>
      <c r="Q658" s="11">
        <f t="shared" si="108"/>
        <v>140.04807692307693</v>
      </c>
      <c r="R658" s="8">
        <v>33072</v>
      </c>
      <c r="S658" s="11">
        <f t="shared" si="109"/>
        <v>38476</v>
      </c>
      <c r="T658" s="20">
        <f>S658/median_percentile!$B$1</f>
        <v>0.76343541970495155</v>
      </c>
      <c r="U658" s="24" t="str" cm="1">
        <f t="array" ref="U658">_xlfn.IFS(T658&lt;1,"underpaid",T658&gt;1,"overpaid",T658=1,"median pay")</f>
        <v>underpaid</v>
      </c>
      <c r="V658" s="5"/>
    </row>
    <row r="659" spans="1:22" x14ac:dyDescent="0.3">
      <c r="A659" s="22" t="s">
        <v>670</v>
      </c>
      <c r="B659" s="12" t="s">
        <v>1669</v>
      </c>
      <c r="C659" s="12" t="s">
        <v>2011</v>
      </c>
      <c r="D659" s="13">
        <v>44062</v>
      </c>
      <c r="E659" s="14">
        <f t="shared" si="100"/>
        <v>451212</v>
      </c>
      <c r="F659" s="12">
        <v>32657</v>
      </c>
      <c r="G659" s="12">
        <v>4944</v>
      </c>
      <c r="H659" s="15">
        <f t="shared" si="101"/>
        <v>16328.5</v>
      </c>
      <c r="I659" s="15">
        <f t="shared" si="102"/>
        <v>6531.4000000000005</v>
      </c>
      <c r="J659" s="15">
        <f t="shared" si="103"/>
        <v>9797.0999999999985</v>
      </c>
      <c r="K659" s="15">
        <f t="shared" si="104"/>
        <v>1959.4199999999998</v>
      </c>
      <c r="L659" s="12">
        <v>200</v>
      </c>
      <c r="M659" s="12">
        <f t="shared" si="105"/>
        <v>208</v>
      </c>
      <c r="N659" s="15">
        <v>3</v>
      </c>
      <c r="O659" s="15">
        <f t="shared" si="106"/>
        <v>78.50240384615384</v>
      </c>
      <c r="P659" s="15">
        <f t="shared" si="107"/>
        <v>157.00480769230768</v>
      </c>
      <c r="Q659" s="15">
        <f t="shared" si="108"/>
        <v>471.01442307692304</v>
      </c>
      <c r="R659" s="12">
        <v>35442</v>
      </c>
      <c r="S659" s="15">
        <f t="shared" si="109"/>
        <v>40386</v>
      </c>
      <c r="T659" s="20">
        <f>S659/median_percentile!$B$1</f>
        <v>0.8013333730170541</v>
      </c>
      <c r="U659" s="24" t="str" cm="1">
        <f t="array" ref="U659">_xlfn.IFS(T659&lt;1,"underpaid",T659&gt;1,"overpaid",T659=1,"median pay")</f>
        <v>underpaid</v>
      </c>
      <c r="V659" s="5"/>
    </row>
    <row r="660" spans="1:22" x14ac:dyDescent="0.3">
      <c r="A660" s="21" t="s">
        <v>671</v>
      </c>
      <c r="B660" s="8" t="s">
        <v>1670</v>
      </c>
      <c r="C660" s="8" t="s">
        <v>2012</v>
      </c>
      <c r="D660" s="9">
        <v>43926</v>
      </c>
      <c r="E660" s="10">
        <f t="shared" si="100"/>
        <v>637980</v>
      </c>
      <c r="F660" s="8">
        <v>45988</v>
      </c>
      <c r="G660" s="8">
        <v>7177</v>
      </c>
      <c r="H660" s="11">
        <f t="shared" si="101"/>
        <v>22994</v>
      </c>
      <c r="I660" s="11">
        <f t="shared" si="102"/>
        <v>9197.6</v>
      </c>
      <c r="J660" s="11">
        <f t="shared" si="103"/>
        <v>13796.400000000001</v>
      </c>
      <c r="K660" s="11">
        <f t="shared" si="104"/>
        <v>2759.2799999999997</v>
      </c>
      <c r="L660" s="8">
        <v>200</v>
      </c>
      <c r="M660" s="8">
        <f t="shared" si="105"/>
        <v>208</v>
      </c>
      <c r="N660" s="11">
        <v>5</v>
      </c>
      <c r="O660" s="11">
        <f t="shared" si="106"/>
        <v>110.54807692307692</v>
      </c>
      <c r="P660" s="11">
        <f t="shared" si="107"/>
        <v>221.09615384615384</v>
      </c>
      <c r="Q660" s="11">
        <f t="shared" si="108"/>
        <v>1105.4807692307693</v>
      </c>
      <c r="R660" s="8">
        <v>50972</v>
      </c>
      <c r="S660" s="11">
        <f t="shared" si="109"/>
        <v>58149</v>
      </c>
      <c r="T660" s="20">
        <f>S660/median_percentile!$B$1</f>
        <v>1.1537843388196076</v>
      </c>
      <c r="U660" s="24" t="str" cm="1">
        <f t="array" ref="U660">_xlfn.IFS(T660&lt;1,"underpaid",T660&gt;1,"overpaid",T660=1,"median pay")</f>
        <v>overpaid</v>
      </c>
      <c r="V660" s="5"/>
    </row>
    <row r="661" spans="1:22" x14ac:dyDescent="0.3">
      <c r="A661" s="22" t="s">
        <v>672</v>
      </c>
      <c r="B661" s="12" t="s">
        <v>1671</v>
      </c>
      <c r="C661" s="12" t="s">
        <v>2016</v>
      </c>
      <c r="D661" s="13">
        <v>44346</v>
      </c>
      <c r="E661" s="14">
        <f t="shared" si="100"/>
        <v>352812</v>
      </c>
      <c r="F661" s="12">
        <v>25566</v>
      </c>
      <c r="G661" s="12">
        <v>3835</v>
      </c>
      <c r="H661" s="15">
        <f t="shared" si="101"/>
        <v>12783</v>
      </c>
      <c r="I661" s="15">
        <f t="shared" si="102"/>
        <v>5113.2000000000007</v>
      </c>
      <c r="J661" s="15">
        <f t="shared" si="103"/>
        <v>7669.7999999999993</v>
      </c>
      <c r="K661" s="15">
        <f t="shared" si="104"/>
        <v>1533.96</v>
      </c>
      <c r="L661" s="12">
        <v>200</v>
      </c>
      <c r="M661" s="12">
        <f t="shared" si="105"/>
        <v>208</v>
      </c>
      <c r="N661" s="15">
        <v>4</v>
      </c>
      <c r="O661" s="15">
        <f t="shared" si="106"/>
        <v>61.456730769230766</v>
      </c>
      <c r="P661" s="15">
        <f t="shared" si="107"/>
        <v>122.91346153846153</v>
      </c>
      <c r="Q661" s="15">
        <f t="shared" si="108"/>
        <v>491.65384615384613</v>
      </c>
      <c r="R661" s="12">
        <v>27668</v>
      </c>
      <c r="S661" s="15">
        <f t="shared" si="109"/>
        <v>31503</v>
      </c>
      <c r="T661" s="20">
        <f>S661/median_percentile!$B$1</f>
        <v>0.62507812732521806</v>
      </c>
      <c r="U661" s="24" t="str" cm="1">
        <f t="array" ref="U661">_xlfn.IFS(T661&lt;1,"underpaid",T661&gt;1,"overpaid",T661=1,"median pay")</f>
        <v>underpaid</v>
      </c>
      <c r="V661" s="5"/>
    </row>
    <row r="662" spans="1:22" x14ac:dyDescent="0.3">
      <c r="A662" s="21" t="s">
        <v>673</v>
      </c>
      <c r="B662" s="8" t="s">
        <v>1672</v>
      </c>
      <c r="C662" s="8" t="s">
        <v>2012</v>
      </c>
      <c r="D662" s="9">
        <v>44677</v>
      </c>
      <c r="E662" s="10">
        <f t="shared" si="100"/>
        <v>613752</v>
      </c>
      <c r="F662" s="8">
        <v>44225</v>
      </c>
      <c r="G662" s="8">
        <v>6921</v>
      </c>
      <c r="H662" s="11">
        <f t="shared" si="101"/>
        <v>22112.5</v>
      </c>
      <c r="I662" s="11">
        <f t="shared" si="102"/>
        <v>8845</v>
      </c>
      <c r="J662" s="11">
        <f t="shared" si="103"/>
        <v>13267.5</v>
      </c>
      <c r="K662" s="11">
        <f t="shared" si="104"/>
        <v>2653.5</v>
      </c>
      <c r="L662" s="8">
        <v>200</v>
      </c>
      <c r="M662" s="8">
        <f t="shared" si="105"/>
        <v>208</v>
      </c>
      <c r="N662" s="11">
        <v>0</v>
      </c>
      <c r="O662" s="11">
        <f t="shared" si="106"/>
        <v>106.31009615384616</v>
      </c>
      <c r="P662" s="11">
        <f t="shared" si="107"/>
        <v>212.62019230769232</v>
      </c>
      <c r="Q662" s="11">
        <f t="shared" si="108"/>
        <v>0</v>
      </c>
      <c r="R662" s="8">
        <v>49030</v>
      </c>
      <c r="S662" s="11">
        <f t="shared" si="109"/>
        <v>55951</v>
      </c>
      <c r="T662" s="20">
        <f>S662/median_percentile!$B$1</f>
        <v>1.1101719297201305</v>
      </c>
      <c r="U662" s="24" t="str" cm="1">
        <f t="array" ref="U662">_xlfn.IFS(T662&lt;1,"underpaid",T662&gt;1,"overpaid",T662=1,"median pay")</f>
        <v>overpaid</v>
      </c>
      <c r="V662" s="5"/>
    </row>
    <row r="663" spans="1:22" x14ac:dyDescent="0.3">
      <c r="A663" s="22" t="s">
        <v>674</v>
      </c>
      <c r="B663" s="12" t="s">
        <v>1673</v>
      </c>
      <c r="C663" s="12" t="s">
        <v>2013</v>
      </c>
      <c r="D663" s="13">
        <v>45848</v>
      </c>
      <c r="E663" s="14">
        <f t="shared" si="100"/>
        <v>439356</v>
      </c>
      <c r="F663" s="12">
        <v>32616</v>
      </c>
      <c r="G663" s="12">
        <v>3997</v>
      </c>
      <c r="H663" s="15">
        <f t="shared" si="101"/>
        <v>16308</v>
      </c>
      <c r="I663" s="15">
        <f t="shared" si="102"/>
        <v>6523.2000000000007</v>
      </c>
      <c r="J663" s="15">
        <f t="shared" si="103"/>
        <v>9784.7999999999993</v>
      </c>
      <c r="K663" s="15">
        <f t="shared" si="104"/>
        <v>1956.96</v>
      </c>
      <c r="L663" s="12">
        <v>200</v>
      </c>
      <c r="M663" s="12">
        <f t="shared" si="105"/>
        <v>208</v>
      </c>
      <c r="N663" s="15">
        <v>1</v>
      </c>
      <c r="O663" s="15">
        <f t="shared" si="106"/>
        <v>78.40384615384616</v>
      </c>
      <c r="P663" s="15">
        <f t="shared" si="107"/>
        <v>156.80769230769232</v>
      </c>
      <c r="Q663" s="15">
        <f t="shared" si="108"/>
        <v>156.80769230769232</v>
      </c>
      <c r="R663" s="12">
        <v>34728</v>
      </c>
      <c r="S663" s="15">
        <f t="shared" si="109"/>
        <v>38725</v>
      </c>
      <c r="T663" s="20">
        <f>S663/median_percentile!$B$1</f>
        <v>0.76837604293778583</v>
      </c>
      <c r="U663" s="24" t="str" cm="1">
        <f t="array" ref="U663">_xlfn.IFS(T663&lt;1,"underpaid",T663&gt;1,"overpaid",T663=1,"median pay")</f>
        <v>underpaid</v>
      </c>
      <c r="V663" s="5"/>
    </row>
    <row r="664" spans="1:22" x14ac:dyDescent="0.3">
      <c r="A664" s="21" t="s">
        <v>675</v>
      </c>
      <c r="B664" s="8" t="s">
        <v>1674</v>
      </c>
      <c r="C664" s="8" t="s">
        <v>2012</v>
      </c>
      <c r="D664" s="9">
        <v>44001</v>
      </c>
      <c r="E664" s="10">
        <f t="shared" si="100"/>
        <v>631572</v>
      </c>
      <c r="F664" s="8">
        <v>45566</v>
      </c>
      <c r="G664" s="8">
        <v>7065</v>
      </c>
      <c r="H664" s="11">
        <f t="shared" si="101"/>
        <v>22783</v>
      </c>
      <c r="I664" s="11">
        <f t="shared" si="102"/>
        <v>9113.2000000000007</v>
      </c>
      <c r="J664" s="11">
        <f t="shared" si="103"/>
        <v>13669.8</v>
      </c>
      <c r="K664" s="11">
        <f t="shared" si="104"/>
        <v>2733.96</v>
      </c>
      <c r="L664" s="8">
        <v>200</v>
      </c>
      <c r="M664" s="8">
        <f t="shared" si="105"/>
        <v>208</v>
      </c>
      <c r="N664" s="11">
        <v>3</v>
      </c>
      <c r="O664" s="11">
        <f t="shared" si="106"/>
        <v>109.53365384615384</v>
      </c>
      <c r="P664" s="11">
        <f t="shared" si="107"/>
        <v>219.06730769230768</v>
      </c>
      <c r="Q664" s="11">
        <f t="shared" si="108"/>
        <v>657.20192307692309</v>
      </c>
      <c r="R664" s="8">
        <v>50077</v>
      </c>
      <c r="S664" s="11">
        <f t="shared" si="109"/>
        <v>57142</v>
      </c>
      <c r="T664" s="20">
        <f>S664/median_percentile!$B$1</f>
        <v>1.1338035854241695</v>
      </c>
      <c r="U664" s="24" t="str" cm="1">
        <f t="array" ref="U664">_xlfn.IFS(T664&lt;1,"underpaid",T664&gt;1,"overpaid",T664=1,"median pay")</f>
        <v>overpaid</v>
      </c>
      <c r="V664" s="5"/>
    </row>
    <row r="665" spans="1:22" x14ac:dyDescent="0.3">
      <c r="A665" s="22" t="s">
        <v>676</v>
      </c>
      <c r="B665" s="12" t="s">
        <v>1675</v>
      </c>
      <c r="C665" s="12" t="s">
        <v>2016</v>
      </c>
      <c r="D665" s="13">
        <v>45549</v>
      </c>
      <c r="E665" s="14">
        <f t="shared" si="100"/>
        <v>536472</v>
      </c>
      <c r="F665" s="12">
        <v>38139</v>
      </c>
      <c r="G665" s="12">
        <v>6567</v>
      </c>
      <c r="H665" s="15">
        <f t="shared" si="101"/>
        <v>19069.5</v>
      </c>
      <c r="I665" s="15">
        <f t="shared" si="102"/>
        <v>7627.8</v>
      </c>
      <c r="J665" s="15">
        <f t="shared" si="103"/>
        <v>11441.7</v>
      </c>
      <c r="K665" s="15">
        <f t="shared" si="104"/>
        <v>2288.3399999999997</v>
      </c>
      <c r="L665" s="12">
        <v>200</v>
      </c>
      <c r="M665" s="12">
        <f t="shared" si="105"/>
        <v>208</v>
      </c>
      <c r="N665" s="15">
        <v>5</v>
      </c>
      <c r="O665" s="15">
        <f t="shared" si="106"/>
        <v>91.680288461538467</v>
      </c>
      <c r="P665" s="15">
        <f t="shared" si="107"/>
        <v>183.36057692307693</v>
      </c>
      <c r="Q665" s="15">
        <f t="shared" si="108"/>
        <v>916.80288461538464</v>
      </c>
      <c r="R665" s="12">
        <v>42535</v>
      </c>
      <c r="S665" s="15">
        <f t="shared" si="109"/>
        <v>49102</v>
      </c>
      <c r="T665" s="20">
        <f>S665/median_percentile!$B$1</f>
        <v>0.9742750280266278</v>
      </c>
      <c r="U665" s="24" t="str" cm="1">
        <f t="array" ref="U665">_xlfn.IFS(T665&lt;1,"underpaid",T665&gt;1,"overpaid",T665=1,"median pay")</f>
        <v>underpaid</v>
      </c>
      <c r="V665" s="5"/>
    </row>
    <row r="666" spans="1:22" x14ac:dyDescent="0.3">
      <c r="A666" s="21" t="s">
        <v>677</v>
      </c>
      <c r="B666" s="8" t="s">
        <v>1676</v>
      </c>
      <c r="C666" s="8" t="s">
        <v>2014</v>
      </c>
      <c r="D666" s="9">
        <v>44684</v>
      </c>
      <c r="E666" s="10">
        <f t="shared" si="100"/>
        <v>941376</v>
      </c>
      <c r="F666" s="8">
        <v>68840</v>
      </c>
      <c r="G666" s="8">
        <v>9608</v>
      </c>
      <c r="H666" s="11">
        <f t="shared" si="101"/>
        <v>34420</v>
      </c>
      <c r="I666" s="11">
        <f t="shared" si="102"/>
        <v>13768</v>
      </c>
      <c r="J666" s="11">
        <f t="shared" si="103"/>
        <v>20652</v>
      </c>
      <c r="K666" s="11">
        <f t="shared" si="104"/>
        <v>4130.3999999999996</v>
      </c>
      <c r="L666" s="8">
        <v>200</v>
      </c>
      <c r="M666" s="8">
        <f t="shared" si="105"/>
        <v>208</v>
      </c>
      <c r="N666" s="11">
        <v>3</v>
      </c>
      <c r="O666" s="11">
        <f t="shared" si="106"/>
        <v>165.48076923076923</v>
      </c>
      <c r="P666" s="11">
        <f t="shared" si="107"/>
        <v>330.96153846153845</v>
      </c>
      <c r="Q666" s="11">
        <f t="shared" si="108"/>
        <v>992.88461538461536</v>
      </c>
      <c r="R666" s="8">
        <v>74691</v>
      </c>
      <c r="S666" s="11">
        <f t="shared" si="109"/>
        <v>84299</v>
      </c>
      <c r="T666" s="20">
        <f>S666/median_percentile!$B$1</f>
        <v>1.6726489875690744</v>
      </c>
      <c r="U666" s="24" t="str" cm="1">
        <f t="array" ref="U666">_xlfn.IFS(T666&lt;1,"underpaid",T666&gt;1,"overpaid",T666=1,"median pay")</f>
        <v>overpaid</v>
      </c>
      <c r="V666" s="5"/>
    </row>
    <row r="667" spans="1:22" x14ac:dyDescent="0.3">
      <c r="A667" s="22" t="s">
        <v>678</v>
      </c>
      <c r="B667" s="12" t="s">
        <v>1677</v>
      </c>
      <c r="C667" s="12" t="s">
        <v>2011</v>
      </c>
      <c r="D667" s="13">
        <v>45211</v>
      </c>
      <c r="E667" s="14">
        <f t="shared" si="100"/>
        <v>473436</v>
      </c>
      <c r="F667" s="12">
        <v>34641</v>
      </c>
      <c r="G667" s="12">
        <v>4812</v>
      </c>
      <c r="H667" s="15">
        <f t="shared" si="101"/>
        <v>17320.5</v>
      </c>
      <c r="I667" s="15">
        <f t="shared" si="102"/>
        <v>6928.2000000000007</v>
      </c>
      <c r="J667" s="15">
        <f t="shared" si="103"/>
        <v>10392.299999999999</v>
      </c>
      <c r="K667" s="15">
        <f t="shared" si="104"/>
        <v>2078.46</v>
      </c>
      <c r="L667" s="12">
        <v>200</v>
      </c>
      <c r="M667" s="12">
        <f t="shared" si="105"/>
        <v>208</v>
      </c>
      <c r="N667" s="15">
        <v>4</v>
      </c>
      <c r="O667" s="15">
        <f t="shared" si="106"/>
        <v>83.271634615384613</v>
      </c>
      <c r="P667" s="15">
        <f t="shared" si="107"/>
        <v>166.54326923076923</v>
      </c>
      <c r="Q667" s="15">
        <f t="shared" si="108"/>
        <v>666.17307692307691</v>
      </c>
      <c r="R667" s="12">
        <v>37463</v>
      </c>
      <c r="S667" s="15">
        <f t="shared" si="109"/>
        <v>42275</v>
      </c>
      <c r="T667" s="20">
        <f>S667/median_percentile!$B$1</f>
        <v>0.83881464726132726</v>
      </c>
      <c r="U667" s="24" t="str" cm="1">
        <f t="array" ref="U667">_xlfn.IFS(T667&lt;1,"underpaid",T667&gt;1,"overpaid",T667=1,"median pay")</f>
        <v>underpaid</v>
      </c>
      <c r="V667" s="5"/>
    </row>
    <row r="668" spans="1:22" x14ac:dyDescent="0.3">
      <c r="A668" s="21" t="s">
        <v>679</v>
      </c>
      <c r="B668" s="8" t="s">
        <v>1678</v>
      </c>
      <c r="C668" s="8" t="s">
        <v>2014</v>
      </c>
      <c r="D668" s="9">
        <v>44376</v>
      </c>
      <c r="E668" s="10">
        <f t="shared" si="100"/>
        <v>854604</v>
      </c>
      <c r="F668" s="8">
        <v>64115</v>
      </c>
      <c r="G668" s="8">
        <v>7102</v>
      </c>
      <c r="H668" s="11">
        <f t="shared" si="101"/>
        <v>32057.5</v>
      </c>
      <c r="I668" s="11">
        <f t="shared" si="102"/>
        <v>12823</v>
      </c>
      <c r="J668" s="11">
        <f t="shared" si="103"/>
        <v>19234.5</v>
      </c>
      <c r="K668" s="11">
        <f t="shared" si="104"/>
        <v>3846.8999999999996</v>
      </c>
      <c r="L668" s="8">
        <v>200</v>
      </c>
      <c r="M668" s="8">
        <f t="shared" si="105"/>
        <v>208</v>
      </c>
      <c r="N668" s="11">
        <v>0</v>
      </c>
      <c r="O668" s="11">
        <f t="shared" si="106"/>
        <v>154.12259615384616</v>
      </c>
      <c r="P668" s="11">
        <f t="shared" si="107"/>
        <v>308.24519230769232</v>
      </c>
      <c r="Q668" s="11">
        <f t="shared" si="108"/>
        <v>0</v>
      </c>
      <c r="R668" s="8">
        <v>68239</v>
      </c>
      <c r="S668" s="11">
        <f t="shared" si="109"/>
        <v>75341</v>
      </c>
      <c r="T668" s="20">
        <f>S668/median_percentile!$B$1</f>
        <v>1.4949056023492762</v>
      </c>
      <c r="U668" s="24" t="str" cm="1">
        <f t="array" ref="U668">_xlfn.IFS(T668&lt;1,"underpaid",T668&gt;1,"overpaid",T668=1,"median pay")</f>
        <v>overpaid</v>
      </c>
      <c r="V668" s="5"/>
    </row>
    <row r="669" spans="1:22" x14ac:dyDescent="0.3">
      <c r="A669" s="22" t="s">
        <v>680</v>
      </c>
      <c r="B669" s="12" t="s">
        <v>1679</v>
      </c>
      <c r="C669" s="12" t="s">
        <v>2016</v>
      </c>
      <c r="D669" s="13">
        <v>45842</v>
      </c>
      <c r="E669" s="14">
        <f t="shared" si="100"/>
        <v>650592</v>
      </c>
      <c r="F669" s="12">
        <v>45466</v>
      </c>
      <c r="G669" s="12">
        <v>8750</v>
      </c>
      <c r="H669" s="15">
        <f t="shared" si="101"/>
        <v>22733</v>
      </c>
      <c r="I669" s="15">
        <f t="shared" si="102"/>
        <v>9093.2000000000007</v>
      </c>
      <c r="J669" s="15">
        <f t="shared" si="103"/>
        <v>13639.8</v>
      </c>
      <c r="K669" s="15">
        <f t="shared" si="104"/>
        <v>2727.96</v>
      </c>
      <c r="L669" s="12">
        <v>200</v>
      </c>
      <c r="M669" s="12">
        <f t="shared" si="105"/>
        <v>208</v>
      </c>
      <c r="N669" s="15">
        <v>0</v>
      </c>
      <c r="O669" s="15">
        <f t="shared" si="106"/>
        <v>109.29326923076923</v>
      </c>
      <c r="P669" s="15">
        <f t="shared" si="107"/>
        <v>218.58653846153845</v>
      </c>
      <c r="Q669" s="15">
        <f t="shared" si="108"/>
        <v>0</v>
      </c>
      <c r="R669" s="12">
        <v>51289</v>
      </c>
      <c r="S669" s="15">
        <f t="shared" si="109"/>
        <v>60039</v>
      </c>
      <c r="T669" s="20">
        <f>S669/median_percentile!$B$1</f>
        <v>1.1912854549242538</v>
      </c>
      <c r="U669" s="24" t="str" cm="1">
        <f t="array" ref="U669">_xlfn.IFS(T669&lt;1,"underpaid",T669&gt;1,"overpaid",T669=1,"median pay")</f>
        <v>overpaid</v>
      </c>
      <c r="V669" s="5"/>
    </row>
    <row r="670" spans="1:22" x14ac:dyDescent="0.3">
      <c r="A670" s="21" t="s">
        <v>681</v>
      </c>
      <c r="B670" s="8" t="s">
        <v>1680</v>
      </c>
      <c r="C670" s="8" t="s">
        <v>2016</v>
      </c>
      <c r="D670" s="9">
        <v>45526</v>
      </c>
      <c r="E670" s="10">
        <f t="shared" si="100"/>
        <v>402708</v>
      </c>
      <c r="F670" s="8">
        <v>29115</v>
      </c>
      <c r="G670" s="8">
        <v>4444</v>
      </c>
      <c r="H670" s="11">
        <f t="shared" si="101"/>
        <v>14557.5</v>
      </c>
      <c r="I670" s="11">
        <f t="shared" si="102"/>
        <v>5823</v>
      </c>
      <c r="J670" s="11">
        <f t="shared" si="103"/>
        <v>8734.5</v>
      </c>
      <c r="K670" s="11">
        <f t="shared" si="104"/>
        <v>1746.8999999999999</v>
      </c>
      <c r="L670" s="8">
        <v>200</v>
      </c>
      <c r="M670" s="8">
        <f t="shared" si="105"/>
        <v>208</v>
      </c>
      <c r="N670" s="11">
        <v>4</v>
      </c>
      <c r="O670" s="11">
        <f t="shared" si="106"/>
        <v>69.987980769230774</v>
      </c>
      <c r="P670" s="11">
        <f t="shared" si="107"/>
        <v>139.97596153846155</v>
      </c>
      <c r="Q670" s="11">
        <f t="shared" si="108"/>
        <v>559.90384615384619</v>
      </c>
      <c r="R670" s="8">
        <v>31613</v>
      </c>
      <c r="S670" s="11">
        <f t="shared" si="109"/>
        <v>36057</v>
      </c>
      <c r="T670" s="20">
        <f>S670/median_percentile!$B$1</f>
        <v>0.71543795946307931</v>
      </c>
      <c r="U670" s="24" t="str" cm="1">
        <f t="array" ref="U670">_xlfn.IFS(T670&lt;1,"underpaid",T670&gt;1,"overpaid",T670=1,"median pay")</f>
        <v>underpaid</v>
      </c>
      <c r="V670" s="5"/>
    </row>
    <row r="671" spans="1:22" x14ac:dyDescent="0.3">
      <c r="A671" s="22" t="s">
        <v>682</v>
      </c>
      <c r="B671" s="12" t="s">
        <v>1681</v>
      </c>
      <c r="C671" s="12" t="s">
        <v>2015</v>
      </c>
      <c r="D671" s="13">
        <v>45439</v>
      </c>
      <c r="E671" s="14">
        <f t="shared" si="100"/>
        <v>461100</v>
      </c>
      <c r="F671" s="12">
        <v>33607</v>
      </c>
      <c r="G671" s="12">
        <v>4818</v>
      </c>
      <c r="H671" s="15">
        <f t="shared" si="101"/>
        <v>16803.5</v>
      </c>
      <c r="I671" s="15">
        <f t="shared" si="102"/>
        <v>6721.4000000000005</v>
      </c>
      <c r="J671" s="15">
        <f t="shared" si="103"/>
        <v>10082.099999999999</v>
      </c>
      <c r="K671" s="15">
        <f t="shared" si="104"/>
        <v>2016.4199999999998</v>
      </c>
      <c r="L671" s="12">
        <v>200</v>
      </c>
      <c r="M671" s="12">
        <f t="shared" si="105"/>
        <v>208</v>
      </c>
      <c r="N671" s="15">
        <v>2</v>
      </c>
      <c r="O671" s="15">
        <f t="shared" si="106"/>
        <v>80.786057692307693</v>
      </c>
      <c r="P671" s="15">
        <f t="shared" si="107"/>
        <v>161.57211538461539</v>
      </c>
      <c r="Q671" s="15">
        <f t="shared" si="108"/>
        <v>323.14423076923077</v>
      </c>
      <c r="R671" s="12">
        <v>36769</v>
      </c>
      <c r="S671" s="15">
        <f t="shared" si="109"/>
        <v>41587</v>
      </c>
      <c r="T671" s="20">
        <f>S671/median_percentile!$B$1</f>
        <v>0.82516344732482116</v>
      </c>
      <c r="U671" s="24" t="str" cm="1">
        <f t="array" ref="U671">_xlfn.IFS(T671&lt;1,"underpaid",T671&gt;1,"overpaid",T671=1,"median pay")</f>
        <v>underpaid</v>
      </c>
      <c r="V671" s="5"/>
    </row>
    <row r="672" spans="1:22" x14ac:dyDescent="0.3">
      <c r="A672" s="21" t="s">
        <v>683</v>
      </c>
      <c r="B672" s="8" t="s">
        <v>1682</v>
      </c>
      <c r="C672" s="8" t="s">
        <v>2015</v>
      </c>
      <c r="D672" s="9">
        <v>43635</v>
      </c>
      <c r="E672" s="10">
        <f t="shared" si="100"/>
        <v>644316</v>
      </c>
      <c r="F672" s="8">
        <v>45150</v>
      </c>
      <c r="G672" s="8">
        <v>8543</v>
      </c>
      <c r="H672" s="11">
        <f t="shared" si="101"/>
        <v>22575</v>
      </c>
      <c r="I672" s="11">
        <f t="shared" si="102"/>
        <v>9030</v>
      </c>
      <c r="J672" s="11">
        <f t="shared" si="103"/>
        <v>13545</v>
      </c>
      <c r="K672" s="11">
        <f t="shared" si="104"/>
        <v>2709</v>
      </c>
      <c r="L672" s="8">
        <v>200</v>
      </c>
      <c r="M672" s="8">
        <f t="shared" si="105"/>
        <v>208</v>
      </c>
      <c r="N672" s="11">
        <v>3</v>
      </c>
      <c r="O672" s="11">
        <f t="shared" si="106"/>
        <v>108.53365384615384</v>
      </c>
      <c r="P672" s="11">
        <f t="shared" si="107"/>
        <v>217.06730769230768</v>
      </c>
      <c r="Q672" s="11">
        <f t="shared" si="108"/>
        <v>651.20192307692309</v>
      </c>
      <c r="R672" s="8">
        <v>50784</v>
      </c>
      <c r="S672" s="11">
        <f t="shared" si="109"/>
        <v>59327</v>
      </c>
      <c r="T672" s="20">
        <f>S672/median_percentile!$B$1</f>
        <v>1.1771580503387997</v>
      </c>
      <c r="U672" s="24" t="str" cm="1">
        <f t="array" ref="U672">_xlfn.IFS(T672&lt;1,"underpaid",T672&gt;1,"overpaid",T672=1,"median pay")</f>
        <v>overpaid</v>
      </c>
      <c r="V672" s="5"/>
    </row>
    <row r="673" spans="1:22" x14ac:dyDescent="0.3">
      <c r="A673" s="22" t="s">
        <v>684</v>
      </c>
      <c r="B673" s="12" t="s">
        <v>1683</v>
      </c>
      <c r="C673" s="12" t="s">
        <v>2011</v>
      </c>
      <c r="D673" s="13">
        <v>43838</v>
      </c>
      <c r="E673" s="14">
        <f t="shared" si="100"/>
        <v>534444</v>
      </c>
      <c r="F673" s="12">
        <v>40177</v>
      </c>
      <c r="G673" s="12">
        <v>4360</v>
      </c>
      <c r="H673" s="15">
        <f t="shared" si="101"/>
        <v>20088.5</v>
      </c>
      <c r="I673" s="15">
        <f t="shared" si="102"/>
        <v>8035.4000000000005</v>
      </c>
      <c r="J673" s="15">
        <f t="shared" si="103"/>
        <v>12053.099999999999</v>
      </c>
      <c r="K673" s="15">
        <f t="shared" si="104"/>
        <v>2410.62</v>
      </c>
      <c r="L673" s="12">
        <v>200</v>
      </c>
      <c r="M673" s="12">
        <f t="shared" si="105"/>
        <v>208</v>
      </c>
      <c r="N673" s="15">
        <v>5</v>
      </c>
      <c r="O673" s="15">
        <f t="shared" si="106"/>
        <v>96.57932692307692</v>
      </c>
      <c r="P673" s="15">
        <f t="shared" si="107"/>
        <v>193.15865384615384</v>
      </c>
      <c r="Q673" s="15">
        <f t="shared" si="108"/>
        <v>965.79326923076917</v>
      </c>
      <c r="R673" s="12">
        <v>41927</v>
      </c>
      <c r="S673" s="15">
        <f t="shared" si="109"/>
        <v>46287</v>
      </c>
      <c r="T673" s="20">
        <f>S673/median_percentile!$B$1</f>
        <v>0.91842019107711537</v>
      </c>
      <c r="U673" s="24" t="str" cm="1">
        <f t="array" ref="U673">_xlfn.IFS(T673&lt;1,"underpaid",T673&gt;1,"overpaid",T673=1,"median pay")</f>
        <v>underpaid</v>
      </c>
      <c r="V673" s="5"/>
    </row>
    <row r="674" spans="1:22" x14ac:dyDescent="0.3">
      <c r="A674" s="21" t="s">
        <v>685</v>
      </c>
      <c r="B674" s="8" t="s">
        <v>1684</v>
      </c>
      <c r="C674" s="8" t="s">
        <v>2015</v>
      </c>
      <c r="D674" s="9">
        <v>43897</v>
      </c>
      <c r="E674" s="10">
        <f t="shared" si="100"/>
        <v>666972</v>
      </c>
      <c r="F674" s="8">
        <v>49462</v>
      </c>
      <c r="G674" s="8">
        <v>6119</v>
      </c>
      <c r="H674" s="11">
        <f t="shared" si="101"/>
        <v>24731</v>
      </c>
      <c r="I674" s="11">
        <f t="shared" si="102"/>
        <v>9892.4000000000015</v>
      </c>
      <c r="J674" s="11">
        <f t="shared" si="103"/>
        <v>14838.599999999999</v>
      </c>
      <c r="K674" s="11">
        <f t="shared" si="104"/>
        <v>2967.72</v>
      </c>
      <c r="L674" s="8">
        <v>200</v>
      </c>
      <c r="M674" s="8">
        <f t="shared" si="105"/>
        <v>208</v>
      </c>
      <c r="N674" s="11">
        <v>3</v>
      </c>
      <c r="O674" s="11">
        <f t="shared" si="106"/>
        <v>118.89903846153847</v>
      </c>
      <c r="P674" s="11">
        <f t="shared" si="107"/>
        <v>237.79807692307693</v>
      </c>
      <c r="Q674" s="11">
        <f t="shared" si="108"/>
        <v>713.39423076923083</v>
      </c>
      <c r="R674" s="8">
        <v>52414</v>
      </c>
      <c r="S674" s="11">
        <f t="shared" si="109"/>
        <v>58533</v>
      </c>
      <c r="T674" s="20">
        <f>S674/median_percentile!$B$1</f>
        <v>1.1614036132027739</v>
      </c>
      <c r="U674" s="24" t="str" cm="1">
        <f t="array" ref="U674">_xlfn.IFS(T674&lt;1,"underpaid",T674&gt;1,"overpaid",T674=1,"median pay")</f>
        <v>overpaid</v>
      </c>
      <c r="V674" s="5"/>
    </row>
    <row r="675" spans="1:22" x14ac:dyDescent="0.3">
      <c r="A675" s="22" t="s">
        <v>686</v>
      </c>
      <c r="B675" s="12" t="s">
        <v>1685</v>
      </c>
      <c r="C675" s="12" t="s">
        <v>2013</v>
      </c>
      <c r="D675" s="13">
        <v>43959</v>
      </c>
      <c r="E675" s="14">
        <f t="shared" si="100"/>
        <v>621852</v>
      </c>
      <c r="F675" s="12">
        <v>44948</v>
      </c>
      <c r="G675" s="12">
        <v>6873</v>
      </c>
      <c r="H675" s="15">
        <f t="shared" si="101"/>
        <v>22474</v>
      </c>
      <c r="I675" s="15">
        <f t="shared" si="102"/>
        <v>8989.6</v>
      </c>
      <c r="J675" s="15">
        <f t="shared" si="103"/>
        <v>13484.400000000001</v>
      </c>
      <c r="K675" s="15">
        <f t="shared" si="104"/>
        <v>2696.88</v>
      </c>
      <c r="L675" s="12">
        <v>200</v>
      </c>
      <c r="M675" s="12">
        <f t="shared" si="105"/>
        <v>208</v>
      </c>
      <c r="N675" s="15">
        <v>3</v>
      </c>
      <c r="O675" s="15">
        <f t="shared" si="106"/>
        <v>108.04807692307692</v>
      </c>
      <c r="P675" s="15">
        <f t="shared" si="107"/>
        <v>216.09615384615384</v>
      </c>
      <c r="Q675" s="15">
        <f t="shared" si="108"/>
        <v>648.28846153846155</v>
      </c>
      <c r="R675" s="12">
        <v>48925</v>
      </c>
      <c r="S675" s="15">
        <f t="shared" si="109"/>
        <v>55798</v>
      </c>
      <c r="T675" s="20">
        <f>S675/median_percentile!$B$1</f>
        <v>1.1071361250830878</v>
      </c>
      <c r="U675" s="24" t="str" cm="1">
        <f t="array" ref="U675">_xlfn.IFS(T675&lt;1,"underpaid",T675&gt;1,"overpaid",T675=1,"median pay")</f>
        <v>overpaid</v>
      </c>
      <c r="V675" s="5"/>
    </row>
    <row r="676" spans="1:22" x14ac:dyDescent="0.3">
      <c r="A676" s="21" t="s">
        <v>687</v>
      </c>
      <c r="B676" s="8" t="s">
        <v>1686</v>
      </c>
      <c r="C676" s="8" t="s">
        <v>2011</v>
      </c>
      <c r="D676" s="9">
        <v>46017</v>
      </c>
      <c r="E676" s="10">
        <f t="shared" si="100"/>
        <v>591864</v>
      </c>
      <c r="F676" s="8">
        <v>42684</v>
      </c>
      <c r="G676" s="8">
        <v>6638</v>
      </c>
      <c r="H676" s="11">
        <f t="shared" si="101"/>
        <v>21342</v>
      </c>
      <c r="I676" s="11">
        <f t="shared" si="102"/>
        <v>8536.8000000000011</v>
      </c>
      <c r="J676" s="11">
        <f t="shared" si="103"/>
        <v>12805.199999999997</v>
      </c>
      <c r="K676" s="11">
        <f t="shared" si="104"/>
        <v>2561.04</v>
      </c>
      <c r="L676" s="8">
        <v>200</v>
      </c>
      <c r="M676" s="8">
        <f t="shared" si="105"/>
        <v>208</v>
      </c>
      <c r="N676" s="11">
        <v>2</v>
      </c>
      <c r="O676" s="11">
        <f t="shared" si="106"/>
        <v>102.60576923076923</v>
      </c>
      <c r="P676" s="11">
        <f t="shared" si="107"/>
        <v>205.21153846153845</v>
      </c>
      <c r="Q676" s="11">
        <f t="shared" si="108"/>
        <v>410.42307692307691</v>
      </c>
      <c r="R676" s="8">
        <v>46561</v>
      </c>
      <c r="S676" s="11">
        <f t="shared" si="109"/>
        <v>53199</v>
      </c>
      <c r="T676" s="20">
        <f>S676/median_percentile!$B$1</f>
        <v>1.0555671299741063</v>
      </c>
      <c r="U676" s="24" t="str" cm="1">
        <f t="array" ref="U676">_xlfn.IFS(T676&lt;1,"underpaid",T676&gt;1,"overpaid",T676=1,"median pay")</f>
        <v>overpaid</v>
      </c>
      <c r="V676" s="5"/>
    </row>
    <row r="677" spans="1:22" x14ac:dyDescent="0.3">
      <c r="A677" s="22" t="s">
        <v>688</v>
      </c>
      <c r="B677" s="12" t="s">
        <v>1687</v>
      </c>
      <c r="C677" s="12" t="s">
        <v>2014</v>
      </c>
      <c r="D677" s="13">
        <v>45042</v>
      </c>
      <c r="E677" s="14">
        <f t="shared" si="100"/>
        <v>986940</v>
      </c>
      <c r="F677" s="12">
        <v>71607</v>
      </c>
      <c r="G677" s="12">
        <v>10638</v>
      </c>
      <c r="H677" s="15">
        <f t="shared" si="101"/>
        <v>35803.5</v>
      </c>
      <c r="I677" s="15">
        <f t="shared" si="102"/>
        <v>14321.400000000001</v>
      </c>
      <c r="J677" s="15">
        <f t="shared" si="103"/>
        <v>21482.1</v>
      </c>
      <c r="K677" s="15">
        <f t="shared" si="104"/>
        <v>4296.42</v>
      </c>
      <c r="L677" s="12">
        <v>200</v>
      </c>
      <c r="M677" s="12">
        <f t="shared" si="105"/>
        <v>208</v>
      </c>
      <c r="N677" s="15">
        <v>5</v>
      </c>
      <c r="O677" s="15">
        <f t="shared" si="106"/>
        <v>172.13221153846155</v>
      </c>
      <c r="P677" s="15">
        <f t="shared" si="107"/>
        <v>344.26442307692309</v>
      </c>
      <c r="Q677" s="15">
        <f t="shared" si="108"/>
        <v>1721.3221153846155</v>
      </c>
      <c r="R677" s="12">
        <v>78345</v>
      </c>
      <c r="S677" s="15">
        <f t="shared" si="109"/>
        <v>88983</v>
      </c>
      <c r="T677" s="20">
        <f>S677/median_percentile!$B$1</f>
        <v>1.7655882615554035</v>
      </c>
      <c r="U677" s="24" t="str" cm="1">
        <f t="array" ref="U677">_xlfn.IFS(T677&lt;1,"underpaid",T677&gt;1,"overpaid",T677=1,"median pay")</f>
        <v>overpaid</v>
      </c>
      <c r="V677" s="5"/>
    </row>
    <row r="678" spans="1:22" x14ac:dyDescent="0.3">
      <c r="A678" s="21" t="s">
        <v>689</v>
      </c>
      <c r="B678" s="8" t="s">
        <v>1688</v>
      </c>
      <c r="C678" s="8" t="s">
        <v>2012</v>
      </c>
      <c r="D678" s="9">
        <v>44362</v>
      </c>
      <c r="E678" s="10">
        <f t="shared" si="100"/>
        <v>616944</v>
      </c>
      <c r="F678" s="8">
        <v>44636</v>
      </c>
      <c r="G678" s="8">
        <v>6776</v>
      </c>
      <c r="H678" s="11">
        <f t="shared" si="101"/>
        <v>22318</v>
      </c>
      <c r="I678" s="11">
        <f t="shared" si="102"/>
        <v>8927.2000000000007</v>
      </c>
      <c r="J678" s="11">
        <f t="shared" si="103"/>
        <v>13390.8</v>
      </c>
      <c r="K678" s="11">
        <f t="shared" si="104"/>
        <v>2678.16</v>
      </c>
      <c r="L678" s="8">
        <v>200</v>
      </c>
      <c r="M678" s="8">
        <f t="shared" si="105"/>
        <v>208</v>
      </c>
      <c r="N678" s="11">
        <v>4</v>
      </c>
      <c r="O678" s="11">
        <f t="shared" si="106"/>
        <v>107.29807692307692</v>
      </c>
      <c r="P678" s="11">
        <f t="shared" si="107"/>
        <v>214.59615384615384</v>
      </c>
      <c r="Q678" s="11">
        <f t="shared" si="108"/>
        <v>858.38461538461536</v>
      </c>
      <c r="R678" s="8">
        <v>48534</v>
      </c>
      <c r="S678" s="11">
        <f t="shared" si="109"/>
        <v>55310</v>
      </c>
      <c r="T678" s="20">
        <f>S678/median_percentile!$B$1</f>
        <v>1.0974532972211475</v>
      </c>
      <c r="U678" s="24" t="str" cm="1">
        <f t="array" ref="U678">_xlfn.IFS(T678&lt;1,"underpaid",T678&gt;1,"overpaid",T678=1,"median pay")</f>
        <v>overpaid</v>
      </c>
      <c r="V678" s="5"/>
    </row>
    <row r="679" spans="1:22" x14ac:dyDescent="0.3">
      <c r="A679" s="22" t="s">
        <v>690</v>
      </c>
      <c r="B679" s="12" t="s">
        <v>1689</v>
      </c>
      <c r="C679" s="12" t="s">
        <v>2014</v>
      </c>
      <c r="D679" s="13">
        <v>45445</v>
      </c>
      <c r="E679" s="14">
        <f t="shared" si="100"/>
        <v>871332</v>
      </c>
      <c r="F679" s="12">
        <v>65164</v>
      </c>
      <c r="G679" s="12">
        <v>7447</v>
      </c>
      <c r="H679" s="15">
        <f t="shared" si="101"/>
        <v>32582</v>
      </c>
      <c r="I679" s="15">
        <f t="shared" si="102"/>
        <v>13032.800000000001</v>
      </c>
      <c r="J679" s="15">
        <f t="shared" si="103"/>
        <v>19549.199999999997</v>
      </c>
      <c r="K679" s="15">
        <f t="shared" si="104"/>
        <v>3909.8399999999997</v>
      </c>
      <c r="L679" s="12">
        <v>200</v>
      </c>
      <c r="M679" s="12">
        <f t="shared" si="105"/>
        <v>208</v>
      </c>
      <c r="N679" s="15">
        <v>4</v>
      </c>
      <c r="O679" s="15">
        <f t="shared" si="106"/>
        <v>156.64423076923077</v>
      </c>
      <c r="P679" s="15">
        <f t="shared" si="107"/>
        <v>313.28846153846155</v>
      </c>
      <c r="Q679" s="15">
        <f t="shared" si="108"/>
        <v>1253.1538461538462</v>
      </c>
      <c r="R679" s="12">
        <v>69045</v>
      </c>
      <c r="S679" s="15">
        <f t="shared" si="109"/>
        <v>76492</v>
      </c>
      <c r="T679" s="20">
        <f>S679/median_percentile!$B$1</f>
        <v>1.5177435836384019</v>
      </c>
      <c r="U679" s="24" t="str" cm="1">
        <f t="array" ref="U679">_xlfn.IFS(T679&lt;1,"underpaid",T679&gt;1,"overpaid",T679=1,"median pay")</f>
        <v>overpaid</v>
      </c>
      <c r="V679" s="5"/>
    </row>
    <row r="680" spans="1:22" x14ac:dyDescent="0.3">
      <c r="A680" s="21" t="s">
        <v>691</v>
      </c>
      <c r="B680" s="8" t="s">
        <v>1690</v>
      </c>
      <c r="C680" s="8" t="s">
        <v>2013</v>
      </c>
      <c r="D680" s="9">
        <v>44927</v>
      </c>
      <c r="E680" s="10">
        <f t="shared" si="100"/>
        <v>784128</v>
      </c>
      <c r="F680" s="8">
        <v>55639</v>
      </c>
      <c r="G680" s="8">
        <v>9705</v>
      </c>
      <c r="H680" s="11">
        <f t="shared" si="101"/>
        <v>27819.5</v>
      </c>
      <c r="I680" s="11">
        <f t="shared" si="102"/>
        <v>11127.800000000001</v>
      </c>
      <c r="J680" s="11">
        <f t="shared" si="103"/>
        <v>16691.699999999997</v>
      </c>
      <c r="K680" s="11">
        <f t="shared" si="104"/>
        <v>3338.3399999999997</v>
      </c>
      <c r="L680" s="8">
        <v>200</v>
      </c>
      <c r="M680" s="8">
        <f t="shared" si="105"/>
        <v>208</v>
      </c>
      <c r="N680" s="11">
        <v>4</v>
      </c>
      <c r="O680" s="11">
        <f t="shared" si="106"/>
        <v>133.74759615384616</v>
      </c>
      <c r="P680" s="11">
        <f t="shared" si="107"/>
        <v>267.49519230769232</v>
      </c>
      <c r="Q680" s="11">
        <f t="shared" si="108"/>
        <v>1069.9807692307693</v>
      </c>
      <c r="R680" s="8">
        <v>62733</v>
      </c>
      <c r="S680" s="11">
        <f t="shared" si="109"/>
        <v>72438</v>
      </c>
      <c r="T680" s="20">
        <f>S680/median_percentile!$B$1</f>
        <v>1.437304681686955</v>
      </c>
      <c r="U680" s="24" t="str" cm="1">
        <f t="array" ref="U680">_xlfn.IFS(T680&lt;1,"underpaid",T680&gt;1,"overpaid",T680=1,"median pay")</f>
        <v>overpaid</v>
      </c>
      <c r="V680" s="5"/>
    </row>
    <row r="681" spans="1:22" x14ac:dyDescent="0.3">
      <c r="A681" s="22" t="s">
        <v>692</v>
      </c>
      <c r="B681" s="12" t="s">
        <v>1691</v>
      </c>
      <c r="C681" s="12" t="s">
        <v>2014</v>
      </c>
      <c r="D681" s="13">
        <v>44866</v>
      </c>
      <c r="E681" s="14">
        <f t="shared" si="100"/>
        <v>827916</v>
      </c>
      <c r="F681" s="12">
        <v>58260</v>
      </c>
      <c r="G681" s="12">
        <v>10733</v>
      </c>
      <c r="H681" s="15">
        <f t="shared" si="101"/>
        <v>29130</v>
      </c>
      <c r="I681" s="15">
        <f t="shared" si="102"/>
        <v>11652</v>
      </c>
      <c r="J681" s="15">
        <f t="shared" si="103"/>
        <v>17478</v>
      </c>
      <c r="K681" s="15">
        <f t="shared" si="104"/>
        <v>3495.6</v>
      </c>
      <c r="L681" s="12">
        <v>200</v>
      </c>
      <c r="M681" s="12">
        <f t="shared" si="105"/>
        <v>208</v>
      </c>
      <c r="N681" s="15">
        <v>4</v>
      </c>
      <c r="O681" s="15">
        <f t="shared" si="106"/>
        <v>140.04807692307693</v>
      </c>
      <c r="P681" s="15">
        <f t="shared" si="107"/>
        <v>280.09615384615387</v>
      </c>
      <c r="Q681" s="15">
        <f t="shared" si="108"/>
        <v>1120.3846153846155</v>
      </c>
      <c r="R681" s="12">
        <v>66269</v>
      </c>
      <c r="S681" s="15">
        <f t="shared" si="109"/>
        <v>77002</v>
      </c>
      <c r="T681" s="20">
        <f>S681/median_percentile!$B$1</f>
        <v>1.5278629324285444</v>
      </c>
      <c r="U681" s="24" t="str" cm="1">
        <f t="array" ref="U681">_xlfn.IFS(T681&lt;1,"underpaid",T681&gt;1,"overpaid",T681=1,"median pay")</f>
        <v>overpaid</v>
      </c>
      <c r="V681" s="5"/>
    </row>
    <row r="682" spans="1:22" x14ac:dyDescent="0.3">
      <c r="A682" s="21" t="s">
        <v>693</v>
      </c>
      <c r="B682" s="8" t="s">
        <v>1692</v>
      </c>
      <c r="C682" s="8" t="s">
        <v>2015</v>
      </c>
      <c r="D682" s="9">
        <v>45660</v>
      </c>
      <c r="E682" s="10">
        <f t="shared" si="100"/>
        <v>512784</v>
      </c>
      <c r="F682" s="8">
        <v>35982</v>
      </c>
      <c r="G682" s="8">
        <v>6750</v>
      </c>
      <c r="H682" s="11">
        <f t="shared" si="101"/>
        <v>17991</v>
      </c>
      <c r="I682" s="11">
        <f t="shared" si="102"/>
        <v>7196.4000000000005</v>
      </c>
      <c r="J682" s="11">
        <f t="shared" si="103"/>
        <v>10794.599999999999</v>
      </c>
      <c r="K682" s="11">
        <f t="shared" si="104"/>
        <v>2158.92</v>
      </c>
      <c r="L682" s="8">
        <v>200</v>
      </c>
      <c r="M682" s="8">
        <f t="shared" si="105"/>
        <v>208</v>
      </c>
      <c r="N682" s="11">
        <v>0</v>
      </c>
      <c r="O682" s="11">
        <f t="shared" si="106"/>
        <v>86.495192307692307</v>
      </c>
      <c r="P682" s="11">
        <f t="shared" si="107"/>
        <v>172.99038461538461</v>
      </c>
      <c r="Q682" s="11">
        <f t="shared" si="108"/>
        <v>0</v>
      </c>
      <c r="R682" s="8">
        <v>40374</v>
      </c>
      <c r="S682" s="11">
        <f t="shared" si="109"/>
        <v>47124</v>
      </c>
      <c r="T682" s="20">
        <f>S682/median_percentile!$B$1</f>
        <v>0.93502782820917285</v>
      </c>
      <c r="U682" s="24" t="str" cm="1">
        <f t="array" ref="U682">_xlfn.IFS(T682&lt;1,"underpaid",T682&gt;1,"overpaid",T682=1,"median pay")</f>
        <v>underpaid</v>
      </c>
      <c r="V682" s="5"/>
    </row>
    <row r="683" spans="1:22" x14ac:dyDescent="0.3">
      <c r="A683" s="22" t="s">
        <v>694</v>
      </c>
      <c r="B683" s="12" t="s">
        <v>1693</v>
      </c>
      <c r="C683" s="12" t="s">
        <v>2015</v>
      </c>
      <c r="D683" s="13">
        <v>43531</v>
      </c>
      <c r="E683" s="14">
        <f t="shared" si="100"/>
        <v>747600</v>
      </c>
      <c r="F683" s="12">
        <v>52771</v>
      </c>
      <c r="G683" s="12">
        <v>9529</v>
      </c>
      <c r="H683" s="15">
        <f t="shared" si="101"/>
        <v>26385.5</v>
      </c>
      <c r="I683" s="15">
        <f t="shared" si="102"/>
        <v>10554.2</v>
      </c>
      <c r="J683" s="15">
        <f t="shared" si="103"/>
        <v>15831.300000000003</v>
      </c>
      <c r="K683" s="15">
        <f t="shared" si="104"/>
        <v>3166.2599999999998</v>
      </c>
      <c r="L683" s="12">
        <v>200</v>
      </c>
      <c r="M683" s="12">
        <f t="shared" si="105"/>
        <v>208</v>
      </c>
      <c r="N683" s="15">
        <v>5</v>
      </c>
      <c r="O683" s="15">
        <f t="shared" si="106"/>
        <v>126.85336538461539</v>
      </c>
      <c r="P683" s="15">
        <f t="shared" si="107"/>
        <v>253.70673076923077</v>
      </c>
      <c r="Q683" s="15">
        <f t="shared" si="108"/>
        <v>1268.5336538461538</v>
      </c>
      <c r="R683" s="12">
        <v>59813</v>
      </c>
      <c r="S683" s="15">
        <f t="shared" si="109"/>
        <v>69342</v>
      </c>
      <c r="T683" s="20">
        <f>S683/median_percentile!$B$1</f>
        <v>1.3758742819726777</v>
      </c>
      <c r="U683" s="24" t="str" cm="1">
        <f t="array" ref="U683">_xlfn.IFS(T683&lt;1,"underpaid",T683&gt;1,"overpaid",T683=1,"median pay")</f>
        <v>overpaid</v>
      </c>
      <c r="V683" s="5"/>
    </row>
    <row r="684" spans="1:22" x14ac:dyDescent="0.3">
      <c r="A684" s="21" t="s">
        <v>695</v>
      </c>
      <c r="B684" s="8" t="s">
        <v>1694</v>
      </c>
      <c r="C684" s="8" t="s">
        <v>2011</v>
      </c>
      <c r="D684" s="9">
        <v>44291</v>
      </c>
      <c r="E684" s="10">
        <f t="shared" si="100"/>
        <v>321876</v>
      </c>
      <c r="F684" s="8">
        <v>23926</v>
      </c>
      <c r="G684" s="8">
        <v>2897</v>
      </c>
      <c r="H684" s="11">
        <f t="shared" si="101"/>
        <v>11963</v>
      </c>
      <c r="I684" s="11">
        <f t="shared" si="102"/>
        <v>4785.2</v>
      </c>
      <c r="J684" s="11">
        <f t="shared" si="103"/>
        <v>7177.7999999999993</v>
      </c>
      <c r="K684" s="11">
        <f t="shared" si="104"/>
        <v>1435.56</v>
      </c>
      <c r="L684" s="8">
        <v>200</v>
      </c>
      <c r="M684" s="8">
        <f t="shared" si="105"/>
        <v>208</v>
      </c>
      <c r="N684" s="11">
        <v>4</v>
      </c>
      <c r="O684" s="11">
        <f t="shared" si="106"/>
        <v>57.51442307692308</v>
      </c>
      <c r="P684" s="11">
        <f t="shared" si="107"/>
        <v>115.02884615384616</v>
      </c>
      <c r="Q684" s="11">
        <f t="shared" si="108"/>
        <v>460.11538461538464</v>
      </c>
      <c r="R684" s="8">
        <v>25586</v>
      </c>
      <c r="S684" s="11">
        <f t="shared" si="109"/>
        <v>28483</v>
      </c>
      <c r="T684" s="20">
        <f>S684/median_percentile!$B$1</f>
        <v>0.56515570899927581</v>
      </c>
      <c r="U684" s="24" t="str" cm="1">
        <f t="array" ref="U684">_xlfn.IFS(T684&lt;1,"underpaid",T684&gt;1,"overpaid",T684=1,"median pay")</f>
        <v>underpaid</v>
      </c>
      <c r="V684" s="5"/>
    </row>
    <row r="685" spans="1:22" x14ac:dyDescent="0.3">
      <c r="A685" s="22" t="s">
        <v>696</v>
      </c>
      <c r="B685" s="12" t="s">
        <v>1695</v>
      </c>
      <c r="C685" s="12" t="s">
        <v>2011</v>
      </c>
      <c r="D685" s="13">
        <v>43887</v>
      </c>
      <c r="E685" s="14">
        <f t="shared" si="100"/>
        <v>313920</v>
      </c>
      <c r="F685" s="12">
        <v>23741</v>
      </c>
      <c r="G685" s="12">
        <v>2419</v>
      </c>
      <c r="H685" s="15">
        <f t="shared" si="101"/>
        <v>11870.5</v>
      </c>
      <c r="I685" s="15">
        <f t="shared" si="102"/>
        <v>4748.2</v>
      </c>
      <c r="J685" s="15">
        <f t="shared" si="103"/>
        <v>7122.2999999999993</v>
      </c>
      <c r="K685" s="15">
        <f t="shared" si="104"/>
        <v>1424.46</v>
      </c>
      <c r="L685" s="12">
        <v>200</v>
      </c>
      <c r="M685" s="12">
        <f t="shared" si="105"/>
        <v>208</v>
      </c>
      <c r="N685" s="15">
        <v>3</v>
      </c>
      <c r="O685" s="15">
        <f t="shared" si="106"/>
        <v>57.06971153846154</v>
      </c>
      <c r="P685" s="15">
        <f t="shared" si="107"/>
        <v>114.13942307692308</v>
      </c>
      <c r="Q685" s="15">
        <f t="shared" si="108"/>
        <v>342.41826923076923</v>
      </c>
      <c r="R685" s="12">
        <v>24536</v>
      </c>
      <c r="S685" s="15">
        <f t="shared" si="109"/>
        <v>26955</v>
      </c>
      <c r="T685" s="20">
        <f>S685/median_percentile!$B$1</f>
        <v>0.53483734634959379</v>
      </c>
      <c r="U685" s="24" t="str" cm="1">
        <f t="array" ref="U685">_xlfn.IFS(T685&lt;1,"underpaid",T685&gt;1,"overpaid",T685=1,"median pay")</f>
        <v>underpaid</v>
      </c>
      <c r="V685" s="5"/>
    </row>
    <row r="686" spans="1:22" x14ac:dyDescent="0.3">
      <c r="A686" s="21" t="s">
        <v>697</v>
      </c>
      <c r="B686" s="8" t="s">
        <v>1696</v>
      </c>
      <c r="C686" s="8" t="s">
        <v>2011</v>
      </c>
      <c r="D686" s="9">
        <v>44507</v>
      </c>
      <c r="E686" s="10">
        <f t="shared" si="100"/>
        <v>497400</v>
      </c>
      <c r="F686" s="8">
        <v>35293</v>
      </c>
      <c r="G686" s="8">
        <v>6157</v>
      </c>
      <c r="H686" s="11">
        <f t="shared" si="101"/>
        <v>17646.5</v>
      </c>
      <c r="I686" s="11">
        <f t="shared" si="102"/>
        <v>7058.6</v>
      </c>
      <c r="J686" s="11">
        <f t="shared" si="103"/>
        <v>10587.900000000001</v>
      </c>
      <c r="K686" s="11">
        <f t="shared" si="104"/>
        <v>2117.58</v>
      </c>
      <c r="L686" s="8">
        <v>200</v>
      </c>
      <c r="M686" s="8">
        <f t="shared" si="105"/>
        <v>208</v>
      </c>
      <c r="N686" s="11">
        <v>3</v>
      </c>
      <c r="O686" s="11">
        <f t="shared" si="106"/>
        <v>84.838942307692307</v>
      </c>
      <c r="P686" s="11">
        <f t="shared" si="107"/>
        <v>169.67788461538461</v>
      </c>
      <c r="Q686" s="11">
        <f t="shared" si="108"/>
        <v>509.03365384615381</v>
      </c>
      <c r="R686" s="8">
        <v>39427</v>
      </c>
      <c r="S686" s="11">
        <f t="shared" si="109"/>
        <v>45584</v>
      </c>
      <c r="T686" s="20">
        <f>S686/median_percentile!$B$1</f>
        <v>0.90447136323501687</v>
      </c>
      <c r="U686" s="24" t="str" cm="1">
        <f t="array" ref="U686">_xlfn.IFS(T686&lt;1,"underpaid",T686&gt;1,"overpaid",T686=1,"median pay")</f>
        <v>underpaid</v>
      </c>
      <c r="V686" s="5"/>
    </row>
    <row r="687" spans="1:22" x14ac:dyDescent="0.3">
      <c r="A687" s="22" t="s">
        <v>698</v>
      </c>
      <c r="B687" s="12" t="s">
        <v>1697</v>
      </c>
      <c r="C687" s="12" t="s">
        <v>2012</v>
      </c>
      <c r="D687" s="13">
        <v>44995</v>
      </c>
      <c r="E687" s="14">
        <f t="shared" si="100"/>
        <v>596868</v>
      </c>
      <c r="F687" s="12">
        <v>41886</v>
      </c>
      <c r="G687" s="12">
        <v>7853</v>
      </c>
      <c r="H687" s="15">
        <f t="shared" si="101"/>
        <v>20943</v>
      </c>
      <c r="I687" s="15">
        <f t="shared" si="102"/>
        <v>8377.2000000000007</v>
      </c>
      <c r="J687" s="15">
        <f t="shared" si="103"/>
        <v>12565.8</v>
      </c>
      <c r="K687" s="15">
        <f t="shared" si="104"/>
        <v>2513.16</v>
      </c>
      <c r="L687" s="12">
        <v>200</v>
      </c>
      <c r="M687" s="12">
        <f t="shared" si="105"/>
        <v>208</v>
      </c>
      <c r="N687" s="15">
        <v>5</v>
      </c>
      <c r="O687" s="15">
        <f t="shared" si="106"/>
        <v>100.6875</v>
      </c>
      <c r="P687" s="15">
        <f t="shared" si="107"/>
        <v>201.375</v>
      </c>
      <c r="Q687" s="15">
        <f t="shared" si="108"/>
        <v>1006.875</v>
      </c>
      <c r="R687" s="12">
        <v>47375</v>
      </c>
      <c r="S687" s="15">
        <f t="shared" si="109"/>
        <v>55228</v>
      </c>
      <c r="T687" s="20">
        <f>S687/median_percentile!$B$1</f>
        <v>1.0958262646705754</v>
      </c>
      <c r="U687" s="24" t="str" cm="1">
        <f t="array" ref="U687">_xlfn.IFS(T687&lt;1,"underpaid",T687&gt;1,"overpaid",T687=1,"median pay")</f>
        <v>overpaid</v>
      </c>
      <c r="V687" s="5"/>
    </row>
    <row r="688" spans="1:22" x14ac:dyDescent="0.3">
      <c r="A688" s="21" t="s">
        <v>699</v>
      </c>
      <c r="B688" s="8" t="s">
        <v>1698</v>
      </c>
      <c r="C688" s="8" t="s">
        <v>2014</v>
      </c>
      <c r="D688" s="9">
        <v>45429</v>
      </c>
      <c r="E688" s="10">
        <f t="shared" si="100"/>
        <v>549300</v>
      </c>
      <c r="F688" s="8">
        <v>39700</v>
      </c>
      <c r="G688" s="8">
        <v>6075</v>
      </c>
      <c r="H688" s="11">
        <f t="shared" si="101"/>
        <v>19850</v>
      </c>
      <c r="I688" s="11">
        <f t="shared" si="102"/>
        <v>7940</v>
      </c>
      <c r="J688" s="11">
        <f t="shared" si="103"/>
        <v>11910</v>
      </c>
      <c r="K688" s="11">
        <f t="shared" si="104"/>
        <v>2382</v>
      </c>
      <c r="L688" s="8">
        <v>200</v>
      </c>
      <c r="M688" s="8">
        <f t="shared" si="105"/>
        <v>208</v>
      </c>
      <c r="N688" s="11">
        <v>3</v>
      </c>
      <c r="O688" s="11">
        <f t="shared" si="106"/>
        <v>95.432692307692307</v>
      </c>
      <c r="P688" s="11">
        <f t="shared" si="107"/>
        <v>190.86538461538461</v>
      </c>
      <c r="Q688" s="11">
        <f t="shared" si="108"/>
        <v>572.59615384615381</v>
      </c>
      <c r="R688" s="8">
        <v>43193</v>
      </c>
      <c r="S688" s="11">
        <f t="shared" si="109"/>
        <v>49268</v>
      </c>
      <c r="T688" s="20">
        <f>S688/median_percentile!$B$1</f>
        <v>0.97756877684851728</v>
      </c>
      <c r="U688" s="24" t="str" cm="1">
        <f t="array" ref="U688">_xlfn.IFS(T688&lt;1,"underpaid",T688&gt;1,"overpaid",T688=1,"median pay")</f>
        <v>underpaid</v>
      </c>
      <c r="V688" s="5"/>
    </row>
    <row r="689" spans="1:22" x14ac:dyDescent="0.3">
      <c r="A689" s="22" t="s">
        <v>700</v>
      </c>
      <c r="B689" s="12" t="s">
        <v>1699</v>
      </c>
      <c r="C689" s="12" t="s">
        <v>2011</v>
      </c>
      <c r="D689" s="13">
        <v>43704</v>
      </c>
      <c r="E689" s="14">
        <f t="shared" si="100"/>
        <v>466200</v>
      </c>
      <c r="F689" s="12">
        <v>33323</v>
      </c>
      <c r="G689" s="12">
        <v>5527</v>
      </c>
      <c r="H689" s="15">
        <f t="shared" si="101"/>
        <v>16661.5</v>
      </c>
      <c r="I689" s="15">
        <f t="shared" si="102"/>
        <v>6664.6</v>
      </c>
      <c r="J689" s="15">
        <f t="shared" si="103"/>
        <v>9996.9000000000015</v>
      </c>
      <c r="K689" s="15">
        <f t="shared" si="104"/>
        <v>1999.3799999999999</v>
      </c>
      <c r="L689" s="12">
        <v>200</v>
      </c>
      <c r="M689" s="12">
        <f t="shared" si="105"/>
        <v>208</v>
      </c>
      <c r="N689" s="15">
        <v>5</v>
      </c>
      <c r="O689" s="15">
        <f t="shared" si="106"/>
        <v>80.103365384615387</v>
      </c>
      <c r="P689" s="15">
        <f t="shared" si="107"/>
        <v>160.20673076923077</v>
      </c>
      <c r="Q689" s="15">
        <f t="shared" si="108"/>
        <v>801.03365384615381</v>
      </c>
      <c r="R689" s="12">
        <v>36928</v>
      </c>
      <c r="S689" s="15">
        <f t="shared" si="109"/>
        <v>42455</v>
      </c>
      <c r="T689" s="20">
        <f>S689/median_percentile!$B$1</f>
        <v>0.84238618212843641</v>
      </c>
      <c r="U689" s="24" t="str" cm="1">
        <f t="array" ref="U689">_xlfn.IFS(T689&lt;1,"underpaid",T689&gt;1,"overpaid",T689=1,"median pay")</f>
        <v>underpaid</v>
      </c>
      <c r="V689" s="5"/>
    </row>
    <row r="690" spans="1:22" x14ac:dyDescent="0.3">
      <c r="A690" s="21" t="s">
        <v>701</v>
      </c>
      <c r="B690" s="8" t="s">
        <v>1700</v>
      </c>
      <c r="C690" s="8" t="s">
        <v>2016</v>
      </c>
      <c r="D690" s="9">
        <v>44106</v>
      </c>
      <c r="E690" s="10">
        <f t="shared" si="100"/>
        <v>575424</v>
      </c>
      <c r="F690" s="8">
        <v>42964</v>
      </c>
      <c r="G690" s="8">
        <v>4988</v>
      </c>
      <c r="H690" s="11">
        <f t="shared" si="101"/>
        <v>21482</v>
      </c>
      <c r="I690" s="11">
        <f t="shared" si="102"/>
        <v>8592.8000000000011</v>
      </c>
      <c r="J690" s="11">
        <f t="shared" si="103"/>
        <v>12889.199999999997</v>
      </c>
      <c r="K690" s="11">
        <f t="shared" si="104"/>
        <v>2577.8399999999997</v>
      </c>
      <c r="L690" s="8">
        <v>200</v>
      </c>
      <c r="M690" s="8">
        <f t="shared" si="105"/>
        <v>208</v>
      </c>
      <c r="N690" s="11">
        <v>4</v>
      </c>
      <c r="O690" s="11">
        <f t="shared" si="106"/>
        <v>103.27884615384616</v>
      </c>
      <c r="P690" s="11">
        <f t="shared" si="107"/>
        <v>206.55769230769232</v>
      </c>
      <c r="Q690" s="11">
        <f t="shared" si="108"/>
        <v>826.23076923076928</v>
      </c>
      <c r="R690" s="8">
        <v>45533</v>
      </c>
      <c r="S690" s="11">
        <f t="shared" si="109"/>
        <v>50521</v>
      </c>
      <c r="T690" s="20">
        <f>S690/median_percentile!$B$1</f>
        <v>1.0024306278956714</v>
      </c>
      <c r="U690" s="24" t="str" cm="1">
        <f t="array" ref="U690">_xlfn.IFS(T690&lt;1,"underpaid",T690&gt;1,"overpaid",T690=1,"median pay")</f>
        <v>overpaid</v>
      </c>
      <c r="V690" s="5"/>
    </row>
    <row r="691" spans="1:22" x14ac:dyDescent="0.3">
      <c r="A691" s="22" t="s">
        <v>702</v>
      </c>
      <c r="B691" s="12" t="s">
        <v>1701</v>
      </c>
      <c r="C691" s="12" t="s">
        <v>2012</v>
      </c>
      <c r="D691" s="13">
        <v>45698</v>
      </c>
      <c r="E691" s="14">
        <f t="shared" si="100"/>
        <v>404076</v>
      </c>
      <c r="F691" s="12">
        <v>29216</v>
      </c>
      <c r="G691" s="12">
        <v>4457</v>
      </c>
      <c r="H691" s="15">
        <f t="shared" si="101"/>
        <v>14608</v>
      </c>
      <c r="I691" s="15">
        <f t="shared" si="102"/>
        <v>5843.2000000000007</v>
      </c>
      <c r="J691" s="15">
        <f t="shared" si="103"/>
        <v>8764.7999999999993</v>
      </c>
      <c r="K691" s="15">
        <f t="shared" si="104"/>
        <v>1752.96</v>
      </c>
      <c r="L691" s="12">
        <v>200</v>
      </c>
      <c r="M691" s="12">
        <f t="shared" si="105"/>
        <v>208</v>
      </c>
      <c r="N691" s="15">
        <v>0</v>
      </c>
      <c r="O691" s="15">
        <f t="shared" si="106"/>
        <v>70.230769230769226</v>
      </c>
      <c r="P691" s="15">
        <f t="shared" si="107"/>
        <v>140.46153846153845</v>
      </c>
      <c r="Q691" s="15">
        <f t="shared" si="108"/>
        <v>0</v>
      </c>
      <c r="R691" s="12">
        <v>31964</v>
      </c>
      <c r="S691" s="15">
        <f t="shared" si="109"/>
        <v>36421</v>
      </c>
      <c r="T691" s="20">
        <f>S691/median_percentile!$B$1</f>
        <v>0.72266039663878889</v>
      </c>
      <c r="U691" s="24" t="str" cm="1">
        <f t="array" ref="U691">_xlfn.IFS(T691&lt;1,"underpaid",T691&gt;1,"overpaid",T691=1,"median pay")</f>
        <v>underpaid</v>
      </c>
      <c r="V691" s="5"/>
    </row>
    <row r="692" spans="1:22" x14ac:dyDescent="0.3">
      <c r="A692" s="21" t="s">
        <v>703</v>
      </c>
      <c r="B692" s="8" t="s">
        <v>1702</v>
      </c>
      <c r="C692" s="8" t="s">
        <v>2011</v>
      </c>
      <c r="D692" s="9">
        <v>45333</v>
      </c>
      <c r="E692" s="10">
        <f t="shared" si="100"/>
        <v>401112</v>
      </c>
      <c r="F692" s="8">
        <v>28568</v>
      </c>
      <c r="G692" s="8">
        <v>4858</v>
      </c>
      <c r="H692" s="11">
        <f t="shared" si="101"/>
        <v>14284</v>
      </c>
      <c r="I692" s="11">
        <f t="shared" si="102"/>
        <v>5713.6</v>
      </c>
      <c r="J692" s="11">
        <f t="shared" si="103"/>
        <v>8570.4000000000015</v>
      </c>
      <c r="K692" s="11">
        <f t="shared" si="104"/>
        <v>1714.08</v>
      </c>
      <c r="L692" s="8">
        <v>200</v>
      </c>
      <c r="M692" s="8">
        <f t="shared" si="105"/>
        <v>208</v>
      </c>
      <c r="N692" s="11">
        <v>4</v>
      </c>
      <c r="O692" s="11">
        <f t="shared" si="106"/>
        <v>68.67307692307692</v>
      </c>
      <c r="P692" s="11">
        <f t="shared" si="107"/>
        <v>137.34615384615384</v>
      </c>
      <c r="Q692" s="11">
        <f t="shared" si="108"/>
        <v>549.38461538461536</v>
      </c>
      <c r="R692" s="8">
        <v>31988</v>
      </c>
      <c r="S692" s="11">
        <f t="shared" si="109"/>
        <v>36846</v>
      </c>
      <c r="T692" s="20">
        <f>S692/median_percentile!$B$1</f>
        <v>0.73109318729724104</v>
      </c>
      <c r="U692" s="24" t="str" cm="1">
        <f t="array" ref="U692">_xlfn.IFS(T692&lt;1,"underpaid",T692&gt;1,"overpaid",T692=1,"median pay")</f>
        <v>underpaid</v>
      </c>
      <c r="V692" s="5"/>
    </row>
    <row r="693" spans="1:22" x14ac:dyDescent="0.3">
      <c r="A693" s="22" t="s">
        <v>704</v>
      </c>
      <c r="B693" s="12" t="s">
        <v>1703</v>
      </c>
      <c r="C693" s="12" t="s">
        <v>2015</v>
      </c>
      <c r="D693" s="13">
        <v>45154</v>
      </c>
      <c r="E693" s="14">
        <f t="shared" si="100"/>
        <v>644412</v>
      </c>
      <c r="F693" s="12">
        <v>45949</v>
      </c>
      <c r="G693" s="12">
        <v>7752</v>
      </c>
      <c r="H693" s="15">
        <f t="shared" si="101"/>
        <v>22974.5</v>
      </c>
      <c r="I693" s="15">
        <f t="shared" si="102"/>
        <v>9189.8000000000011</v>
      </c>
      <c r="J693" s="15">
        <f t="shared" si="103"/>
        <v>13784.699999999997</v>
      </c>
      <c r="K693" s="15">
        <f t="shared" si="104"/>
        <v>2756.94</v>
      </c>
      <c r="L693" s="12">
        <v>200</v>
      </c>
      <c r="M693" s="12">
        <f t="shared" si="105"/>
        <v>208</v>
      </c>
      <c r="N693" s="15">
        <v>1</v>
      </c>
      <c r="O693" s="15">
        <f t="shared" si="106"/>
        <v>110.45432692307692</v>
      </c>
      <c r="P693" s="15">
        <f t="shared" si="107"/>
        <v>220.90865384615384</v>
      </c>
      <c r="Q693" s="15">
        <f t="shared" si="108"/>
        <v>220.90865384615384</v>
      </c>
      <c r="R693" s="12">
        <v>51127</v>
      </c>
      <c r="S693" s="15">
        <f t="shared" si="109"/>
        <v>58879</v>
      </c>
      <c r="T693" s="20">
        <f>S693/median_percentile!$B$1</f>
        <v>1.1682688968917725</v>
      </c>
      <c r="U693" s="24" t="str" cm="1">
        <f t="array" ref="U693">_xlfn.IFS(T693&lt;1,"underpaid",T693&gt;1,"overpaid",T693=1,"median pay")</f>
        <v>overpaid</v>
      </c>
      <c r="V693" s="5"/>
    </row>
    <row r="694" spans="1:22" x14ac:dyDescent="0.3">
      <c r="A694" s="21" t="s">
        <v>705</v>
      </c>
      <c r="B694" s="8" t="s">
        <v>1704</v>
      </c>
      <c r="C694" s="8" t="s">
        <v>2011</v>
      </c>
      <c r="D694" s="9">
        <v>45964</v>
      </c>
      <c r="E694" s="10">
        <f t="shared" si="100"/>
        <v>385716</v>
      </c>
      <c r="F694" s="8">
        <v>28357</v>
      </c>
      <c r="G694" s="8">
        <v>3786</v>
      </c>
      <c r="H694" s="11">
        <f t="shared" si="101"/>
        <v>14178.5</v>
      </c>
      <c r="I694" s="11">
        <f t="shared" si="102"/>
        <v>5671.4000000000005</v>
      </c>
      <c r="J694" s="11">
        <f t="shared" si="103"/>
        <v>8507.0999999999985</v>
      </c>
      <c r="K694" s="11">
        <f t="shared" si="104"/>
        <v>1701.4199999999998</v>
      </c>
      <c r="L694" s="8">
        <v>200</v>
      </c>
      <c r="M694" s="8">
        <f t="shared" si="105"/>
        <v>208</v>
      </c>
      <c r="N694" s="11">
        <v>2</v>
      </c>
      <c r="O694" s="11">
        <f t="shared" si="106"/>
        <v>68.165865384615387</v>
      </c>
      <c r="P694" s="11">
        <f t="shared" si="107"/>
        <v>136.33173076923077</v>
      </c>
      <c r="Q694" s="11">
        <f t="shared" si="108"/>
        <v>272.66346153846155</v>
      </c>
      <c r="R694" s="8">
        <v>30242</v>
      </c>
      <c r="S694" s="11">
        <f t="shared" si="109"/>
        <v>34028</v>
      </c>
      <c r="T694" s="20">
        <f>S694/median_percentile!$B$1</f>
        <v>0.67517882476661006</v>
      </c>
      <c r="U694" s="24" t="str" cm="1">
        <f t="array" ref="U694">_xlfn.IFS(T694&lt;1,"underpaid",T694&gt;1,"overpaid",T694=1,"median pay")</f>
        <v>underpaid</v>
      </c>
      <c r="V694" s="5"/>
    </row>
    <row r="695" spans="1:22" x14ac:dyDescent="0.3">
      <c r="A695" s="22" t="s">
        <v>706</v>
      </c>
      <c r="B695" s="12" t="s">
        <v>1705</v>
      </c>
      <c r="C695" s="12" t="s">
        <v>2011</v>
      </c>
      <c r="D695" s="13">
        <v>43758</v>
      </c>
      <c r="E695" s="14">
        <f t="shared" si="100"/>
        <v>337176</v>
      </c>
      <c r="F695" s="12">
        <v>24179</v>
      </c>
      <c r="G695" s="12">
        <v>3919</v>
      </c>
      <c r="H695" s="15">
        <f t="shared" si="101"/>
        <v>12089.5</v>
      </c>
      <c r="I695" s="15">
        <f t="shared" si="102"/>
        <v>4835.8</v>
      </c>
      <c r="J695" s="15">
        <f t="shared" si="103"/>
        <v>7253.7000000000007</v>
      </c>
      <c r="K695" s="15">
        <f t="shared" si="104"/>
        <v>1450.74</v>
      </c>
      <c r="L695" s="12">
        <v>200</v>
      </c>
      <c r="M695" s="12">
        <f t="shared" si="105"/>
        <v>208</v>
      </c>
      <c r="N695" s="15">
        <v>5</v>
      </c>
      <c r="O695" s="15">
        <f t="shared" si="106"/>
        <v>58.122596153846153</v>
      </c>
      <c r="P695" s="15">
        <f t="shared" si="107"/>
        <v>116.24519230769231</v>
      </c>
      <c r="Q695" s="15">
        <f t="shared" si="108"/>
        <v>581.22596153846155</v>
      </c>
      <c r="R695" s="12">
        <v>26850</v>
      </c>
      <c r="S695" s="15">
        <f t="shared" si="109"/>
        <v>30769</v>
      </c>
      <c r="T695" s="20">
        <f>S695/median_percentile!$B$1</f>
        <v>0.61051420181156191</v>
      </c>
      <c r="U695" s="24" t="str" cm="1">
        <f t="array" ref="U695">_xlfn.IFS(T695&lt;1,"underpaid",T695&gt;1,"overpaid",T695=1,"median pay")</f>
        <v>underpaid</v>
      </c>
      <c r="V695" s="5"/>
    </row>
    <row r="696" spans="1:22" x14ac:dyDescent="0.3">
      <c r="A696" s="21" t="s">
        <v>707</v>
      </c>
      <c r="B696" s="8" t="s">
        <v>1706</v>
      </c>
      <c r="C696" s="8" t="s">
        <v>2011</v>
      </c>
      <c r="D696" s="9">
        <v>43508</v>
      </c>
      <c r="E696" s="10">
        <f t="shared" si="100"/>
        <v>392076</v>
      </c>
      <c r="F696" s="8">
        <v>27789</v>
      </c>
      <c r="G696" s="8">
        <v>4884</v>
      </c>
      <c r="H696" s="11">
        <f t="shared" si="101"/>
        <v>13894.5</v>
      </c>
      <c r="I696" s="11">
        <f t="shared" si="102"/>
        <v>5557.8</v>
      </c>
      <c r="J696" s="11">
        <f t="shared" si="103"/>
        <v>8336.7000000000007</v>
      </c>
      <c r="K696" s="11">
        <f t="shared" si="104"/>
        <v>1667.34</v>
      </c>
      <c r="L696" s="8">
        <v>200</v>
      </c>
      <c r="M696" s="8">
        <f t="shared" si="105"/>
        <v>208</v>
      </c>
      <c r="N696" s="11">
        <v>4</v>
      </c>
      <c r="O696" s="11">
        <f t="shared" si="106"/>
        <v>66.800480769230774</v>
      </c>
      <c r="P696" s="11">
        <f t="shared" si="107"/>
        <v>133.60096153846155</v>
      </c>
      <c r="Q696" s="11">
        <f t="shared" si="108"/>
        <v>534.40384615384619</v>
      </c>
      <c r="R696" s="8">
        <v>30806</v>
      </c>
      <c r="S696" s="11">
        <f t="shared" si="109"/>
        <v>35690</v>
      </c>
      <c r="T696" s="20">
        <f>S696/median_percentile!$B$1</f>
        <v>0.70815599670625118</v>
      </c>
      <c r="U696" s="24" t="str" cm="1">
        <f t="array" ref="U696">_xlfn.IFS(T696&lt;1,"underpaid",T696&gt;1,"overpaid",T696=1,"median pay")</f>
        <v>underpaid</v>
      </c>
      <c r="V696" s="5"/>
    </row>
    <row r="697" spans="1:22" x14ac:dyDescent="0.3">
      <c r="A697" s="22" t="s">
        <v>708</v>
      </c>
      <c r="B697" s="12" t="s">
        <v>1707</v>
      </c>
      <c r="C697" s="12" t="s">
        <v>2012</v>
      </c>
      <c r="D697" s="13">
        <v>44446</v>
      </c>
      <c r="E697" s="14">
        <f t="shared" si="100"/>
        <v>694140</v>
      </c>
      <c r="F697" s="12">
        <v>49299</v>
      </c>
      <c r="G697" s="12">
        <v>8546</v>
      </c>
      <c r="H697" s="15">
        <f t="shared" si="101"/>
        <v>24649.5</v>
      </c>
      <c r="I697" s="15">
        <f t="shared" si="102"/>
        <v>9859.8000000000011</v>
      </c>
      <c r="J697" s="15">
        <f t="shared" si="103"/>
        <v>14789.699999999997</v>
      </c>
      <c r="K697" s="15">
        <f t="shared" si="104"/>
        <v>2957.94</v>
      </c>
      <c r="L697" s="12">
        <v>200</v>
      </c>
      <c r="M697" s="12">
        <f t="shared" si="105"/>
        <v>208</v>
      </c>
      <c r="N697" s="15">
        <v>1</v>
      </c>
      <c r="O697" s="15">
        <f t="shared" si="106"/>
        <v>118.50721153846153</v>
      </c>
      <c r="P697" s="15">
        <f t="shared" si="107"/>
        <v>237.01442307692307</v>
      </c>
      <c r="Q697" s="15">
        <f t="shared" si="108"/>
        <v>237.01442307692307</v>
      </c>
      <c r="R697" s="12">
        <v>55098</v>
      </c>
      <c r="S697" s="15">
        <f t="shared" si="109"/>
        <v>63644</v>
      </c>
      <c r="T697" s="20">
        <f>S697/median_percentile!$B$1</f>
        <v>1.2628153615683007</v>
      </c>
      <c r="U697" s="24" t="str" cm="1">
        <f t="array" ref="U697">_xlfn.IFS(T697&lt;1,"underpaid",T697&gt;1,"overpaid",T697=1,"median pay")</f>
        <v>overpaid</v>
      </c>
      <c r="V697" s="5"/>
    </row>
    <row r="698" spans="1:22" x14ac:dyDescent="0.3">
      <c r="A698" s="21" t="s">
        <v>709</v>
      </c>
      <c r="B698" s="8" t="s">
        <v>1708</v>
      </c>
      <c r="C698" s="8" t="s">
        <v>2016</v>
      </c>
      <c r="D698" s="9">
        <v>45414</v>
      </c>
      <c r="E698" s="10">
        <f t="shared" si="100"/>
        <v>391680</v>
      </c>
      <c r="F698" s="8">
        <v>28346</v>
      </c>
      <c r="G698" s="8">
        <v>4294</v>
      </c>
      <c r="H698" s="11">
        <f t="shared" si="101"/>
        <v>14173</v>
      </c>
      <c r="I698" s="11">
        <f t="shared" si="102"/>
        <v>5669.2000000000007</v>
      </c>
      <c r="J698" s="11">
        <f t="shared" si="103"/>
        <v>8503.7999999999993</v>
      </c>
      <c r="K698" s="11">
        <f t="shared" si="104"/>
        <v>1700.76</v>
      </c>
      <c r="L698" s="8">
        <v>200</v>
      </c>
      <c r="M698" s="8">
        <f t="shared" si="105"/>
        <v>208</v>
      </c>
      <c r="N698" s="11">
        <v>4</v>
      </c>
      <c r="O698" s="11">
        <f t="shared" si="106"/>
        <v>68.13942307692308</v>
      </c>
      <c r="P698" s="11">
        <f t="shared" si="107"/>
        <v>136.27884615384616</v>
      </c>
      <c r="Q698" s="11">
        <f t="shared" si="108"/>
        <v>545.11538461538464</v>
      </c>
      <c r="R698" s="8">
        <v>31212</v>
      </c>
      <c r="S698" s="11">
        <f t="shared" si="109"/>
        <v>35506</v>
      </c>
      <c r="T698" s="20">
        <f>S698/median_percentile!$B$1</f>
        <v>0.70450509439765074</v>
      </c>
      <c r="U698" s="24" t="str" cm="1">
        <f t="array" ref="U698">_xlfn.IFS(T698&lt;1,"underpaid",T698&gt;1,"overpaid",T698=1,"median pay")</f>
        <v>underpaid</v>
      </c>
      <c r="V698" s="5"/>
    </row>
    <row r="699" spans="1:22" x14ac:dyDescent="0.3">
      <c r="A699" s="22" t="s">
        <v>710</v>
      </c>
      <c r="B699" s="12" t="s">
        <v>1709</v>
      </c>
      <c r="C699" s="12" t="s">
        <v>2012</v>
      </c>
      <c r="D699" s="13">
        <v>44292</v>
      </c>
      <c r="E699" s="14">
        <f t="shared" si="100"/>
        <v>401784</v>
      </c>
      <c r="F699" s="12">
        <v>28530</v>
      </c>
      <c r="G699" s="12">
        <v>4952</v>
      </c>
      <c r="H699" s="15">
        <f t="shared" si="101"/>
        <v>14265</v>
      </c>
      <c r="I699" s="15">
        <f t="shared" si="102"/>
        <v>5706</v>
      </c>
      <c r="J699" s="15">
        <f t="shared" si="103"/>
        <v>8559</v>
      </c>
      <c r="K699" s="15">
        <f t="shared" si="104"/>
        <v>1711.8</v>
      </c>
      <c r="L699" s="12">
        <v>200</v>
      </c>
      <c r="M699" s="12">
        <f t="shared" si="105"/>
        <v>208</v>
      </c>
      <c r="N699" s="15">
        <v>1</v>
      </c>
      <c r="O699" s="15">
        <f t="shared" si="106"/>
        <v>68.581730769230774</v>
      </c>
      <c r="P699" s="15">
        <f t="shared" si="107"/>
        <v>137.16346153846155</v>
      </c>
      <c r="Q699" s="15">
        <f t="shared" si="108"/>
        <v>137.16346153846155</v>
      </c>
      <c r="R699" s="12">
        <v>31571</v>
      </c>
      <c r="S699" s="15">
        <f t="shared" si="109"/>
        <v>36523</v>
      </c>
      <c r="T699" s="20">
        <f>S699/median_percentile!$B$1</f>
        <v>0.72468426639681738</v>
      </c>
      <c r="U699" s="24" t="str" cm="1">
        <f t="array" ref="U699">_xlfn.IFS(T699&lt;1,"underpaid",T699&gt;1,"overpaid",T699=1,"median pay")</f>
        <v>underpaid</v>
      </c>
      <c r="V699" s="5"/>
    </row>
    <row r="700" spans="1:22" x14ac:dyDescent="0.3">
      <c r="A700" s="21" t="s">
        <v>711</v>
      </c>
      <c r="B700" s="8" t="s">
        <v>1710</v>
      </c>
      <c r="C700" s="8" t="s">
        <v>2014</v>
      </c>
      <c r="D700" s="9">
        <v>45570</v>
      </c>
      <c r="E700" s="10">
        <f t="shared" si="100"/>
        <v>622488</v>
      </c>
      <c r="F700" s="8">
        <v>45328</v>
      </c>
      <c r="G700" s="8">
        <v>6546</v>
      </c>
      <c r="H700" s="11">
        <f t="shared" si="101"/>
        <v>22664</v>
      </c>
      <c r="I700" s="11">
        <f t="shared" si="102"/>
        <v>9065.6</v>
      </c>
      <c r="J700" s="11">
        <f t="shared" si="103"/>
        <v>13598.400000000001</v>
      </c>
      <c r="K700" s="11">
        <f t="shared" si="104"/>
        <v>2719.68</v>
      </c>
      <c r="L700" s="8">
        <v>200</v>
      </c>
      <c r="M700" s="8">
        <f t="shared" si="105"/>
        <v>208</v>
      </c>
      <c r="N700" s="11">
        <v>3</v>
      </c>
      <c r="O700" s="11">
        <f t="shared" si="106"/>
        <v>108.96153846153847</v>
      </c>
      <c r="P700" s="11">
        <f t="shared" si="107"/>
        <v>217.92307692307693</v>
      </c>
      <c r="Q700" s="11">
        <f t="shared" si="108"/>
        <v>653.76923076923083</v>
      </c>
      <c r="R700" s="8">
        <v>48955</v>
      </c>
      <c r="S700" s="11">
        <f t="shared" si="109"/>
        <v>55501</v>
      </c>
      <c r="T700" s="20">
        <f>S700/median_percentile!$B$1</f>
        <v>1.1012430925523577</v>
      </c>
      <c r="U700" s="24" t="str" cm="1">
        <f t="array" ref="U700">_xlfn.IFS(T700&lt;1,"underpaid",T700&gt;1,"overpaid",T700=1,"median pay")</f>
        <v>overpaid</v>
      </c>
      <c r="V700" s="5"/>
    </row>
    <row r="701" spans="1:22" x14ac:dyDescent="0.3">
      <c r="A701" s="22" t="s">
        <v>712</v>
      </c>
      <c r="B701" s="12" t="s">
        <v>1711</v>
      </c>
      <c r="C701" s="12" t="s">
        <v>2014</v>
      </c>
      <c r="D701" s="13">
        <v>45589</v>
      </c>
      <c r="E701" s="14">
        <f t="shared" si="100"/>
        <v>1052436</v>
      </c>
      <c r="F701" s="12">
        <v>78687</v>
      </c>
      <c r="G701" s="12">
        <v>9016</v>
      </c>
      <c r="H701" s="15">
        <f t="shared" si="101"/>
        <v>39343.5</v>
      </c>
      <c r="I701" s="15">
        <f t="shared" si="102"/>
        <v>15737.400000000001</v>
      </c>
      <c r="J701" s="15">
        <f t="shared" si="103"/>
        <v>23606.1</v>
      </c>
      <c r="K701" s="15">
        <f t="shared" si="104"/>
        <v>4721.22</v>
      </c>
      <c r="L701" s="12">
        <v>200</v>
      </c>
      <c r="M701" s="12">
        <f t="shared" si="105"/>
        <v>208</v>
      </c>
      <c r="N701" s="15">
        <v>5</v>
      </c>
      <c r="O701" s="15">
        <f t="shared" si="106"/>
        <v>189.15144230769232</v>
      </c>
      <c r="P701" s="15">
        <f t="shared" si="107"/>
        <v>378.30288461538464</v>
      </c>
      <c r="Q701" s="15">
        <f t="shared" si="108"/>
        <v>1891.5144230769233</v>
      </c>
      <c r="R701" s="12">
        <v>82782</v>
      </c>
      <c r="S701" s="15">
        <f t="shared" si="109"/>
        <v>91798</v>
      </c>
      <c r="T701" s="20">
        <f>S701/median_percentile!$B$1</f>
        <v>1.8214430985049159</v>
      </c>
      <c r="U701" s="24" t="str" cm="1">
        <f t="array" ref="U701">_xlfn.IFS(T701&lt;1,"underpaid",T701&gt;1,"overpaid",T701=1,"median pay")</f>
        <v>overpaid</v>
      </c>
      <c r="V701" s="5"/>
    </row>
    <row r="702" spans="1:22" x14ac:dyDescent="0.3">
      <c r="A702" s="21" t="s">
        <v>713</v>
      </c>
      <c r="B702" s="8" t="s">
        <v>1712</v>
      </c>
      <c r="C702" s="8" t="s">
        <v>2015</v>
      </c>
      <c r="D702" s="9">
        <v>44735</v>
      </c>
      <c r="E702" s="10">
        <f t="shared" si="100"/>
        <v>676944</v>
      </c>
      <c r="F702" s="8">
        <v>50867</v>
      </c>
      <c r="G702" s="8">
        <v>5545</v>
      </c>
      <c r="H702" s="11">
        <f t="shared" si="101"/>
        <v>25433.5</v>
      </c>
      <c r="I702" s="11">
        <f t="shared" si="102"/>
        <v>10173.400000000001</v>
      </c>
      <c r="J702" s="11">
        <f t="shared" si="103"/>
        <v>15260.099999999999</v>
      </c>
      <c r="K702" s="11">
        <f t="shared" si="104"/>
        <v>3052.02</v>
      </c>
      <c r="L702" s="8">
        <v>200</v>
      </c>
      <c r="M702" s="8">
        <f t="shared" si="105"/>
        <v>208</v>
      </c>
      <c r="N702" s="11">
        <v>1</v>
      </c>
      <c r="O702" s="11">
        <f t="shared" si="106"/>
        <v>122.27644230769231</v>
      </c>
      <c r="P702" s="11">
        <f t="shared" si="107"/>
        <v>244.55288461538461</v>
      </c>
      <c r="Q702" s="11">
        <f t="shared" si="108"/>
        <v>244.55288461538461</v>
      </c>
      <c r="R702" s="8">
        <v>54008</v>
      </c>
      <c r="S702" s="11">
        <f t="shared" si="109"/>
        <v>59553</v>
      </c>
      <c r="T702" s="20">
        <f>S702/median_percentile!$B$1</f>
        <v>1.1816423107830589</v>
      </c>
      <c r="U702" s="24" t="str" cm="1">
        <f t="array" ref="U702">_xlfn.IFS(T702&lt;1,"underpaid",T702&gt;1,"overpaid",T702=1,"median pay")</f>
        <v>overpaid</v>
      </c>
      <c r="V702" s="5"/>
    </row>
    <row r="703" spans="1:22" x14ac:dyDescent="0.3">
      <c r="A703" s="22" t="s">
        <v>714</v>
      </c>
      <c r="B703" s="12" t="s">
        <v>1713</v>
      </c>
      <c r="C703" s="12" t="s">
        <v>2011</v>
      </c>
      <c r="D703" s="13">
        <v>43730</v>
      </c>
      <c r="E703" s="14">
        <f t="shared" si="100"/>
        <v>491256</v>
      </c>
      <c r="F703" s="12">
        <v>34564</v>
      </c>
      <c r="G703" s="12">
        <v>6374</v>
      </c>
      <c r="H703" s="15">
        <f t="shared" si="101"/>
        <v>17282</v>
      </c>
      <c r="I703" s="15">
        <f t="shared" si="102"/>
        <v>6912.8</v>
      </c>
      <c r="J703" s="15">
        <f t="shared" si="103"/>
        <v>10369.200000000001</v>
      </c>
      <c r="K703" s="15">
        <f t="shared" si="104"/>
        <v>2073.84</v>
      </c>
      <c r="L703" s="12">
        <v>200</v>
      </c>
      <c r="M703" s="12">
        <f t="shared" si="105"/>
        <v>208</v>
      </c>
      <c r="N703" s="15">
        <v>1</v>
      </c>
      <c r="O703" s="15">
        <f t="shared" si="106"/>
        <v>83.086538461538467</v>
      </c>
      <c r="P703" s="15">
        <f t="shared" si="107"/>
        <v>166.17307692307693</v>
      </c>
      <c r="Q703" s="15">
        <f t="shared" si="108"/>
        <v>166.17307692307693</v>
      </c>
      <c r="R703" s="12">
        <v>38953</v>
      </c>
      <c r="S703" s="15">
        <f t="shared" si="109"/>
        <v>45327</v>
      </c>
      <c r="T703" s="20">
        <f>S703/median_percentile!$B$1</f>
        <v>0.89937200511920001</v>
      </c>
      <c r="U703" s="24" t="str" cm="1">
        <f t="array" ref="U703">_xlfn.IFS(T703&lt;1,"underpaid",T703&gt;1,"overpaid",T703=1,"median pay")</f>
        <v>underpaid</v>
      </c>
      <c r="V703" s="5"/>
    </row>
    <row r="704" spans="1:22" x14ac:dyDescent="0.3">
      <c r="A704" s="21" t="s">
        <v>715</v>
      </c>
      <c r="B704" s="8" t="s">
        <v>1714</v>
      </c>
      <c r="C704" s="8" t="s">
        <v>2015</v>
      </c>
      <c r="D704" s="9">
        <v>44226</v>
      </c>
      <c r="E704" s="10">
        <f t="shared" si="100"/>
        <v>769824</v>
      </c>
      <c r="F704" s="8">
        <v>53588</v>
      </c>
      <c r="G704" s="8">
        <v>10564</v>
      </c>
      <c r="H704" s="11">
        <f t="shared" si="101"/>
        <v>26794</v>
      </c>
      <c r="I704" s="11">
        <f t="shared" si="102"/>
        <v>10717.6</v>
      </c>
      <c r="J704" s="11">
        <f t="shared" si="103"/>
        <v>16076.400000000001</v>
      </c>
      <c r="K704" s="11">
        <f t="shared" si="104"/>
        <v>3215.2799999999997</v>
      </c>
      <c r="L704" s="8">
        <v>200</v>
      </c>
      <c r="M704" s="8">
        <f t="shared" si="105"/>
        <v>208</v>
      </c>
      <c r="N704" s="11">
        <v>2</v>
      </c>
      <c r="O704" s="11">
        <f t="shared" si="106"/>
        <v>128.81730769230768</v>
      </c>
      <c r="P704" s="11">
        <f t="shared" si="107"/>
        <v>257.63461538461536</v>
      </c>
      <c r="Q704" s="11">
        <f t="shared" si="108"/>
        <v>515.26923076923072</v>
      </c>
      <c r="R704" s="8">
        <v>60737</v>
      </c>
      <c r="S704" s="11">
        <f t="shared" si="109"/>
        <v>71301</v>
      </c>
      <c r="T704" s="20">
        <f>S704/median_percentile!$B$1</f>
        <v>1.414744486443049</v>
      </c>
      <c r="U704" s="24" t="str" cm="1">
        <f t="array" ref="U704">_xlfn.IFS(T704&lt;1,"underpaid",T704&gt;1,"overpaid",T704=1,"median pay")</f>
        <v>overpaid</v>
      </c>
      <c r="V704" s="5"/>
    </row>
    <row r="705" spans="1:22" x14ac:dyDescent="0.3">
      <c r="A705" s="22" t="s">
        <v>716</v>
      </c>
      <c r="B705" s="12" t="s">
        <v>1715</v>
      </c>
      <c r="C705" s="12" t="s">
        <v>2012</v>
      </c>
      <c r="D705" s="13">
        <v>45686</v>
      </c>
      <c r="E705" s="14">
        <f t="shared" si="100"/>
        <v>404172</v>
      </c>
      <c r="F705" s="12">
        <v>28336</v>
      </c>
      <c r="G705" s="12">
        <v>5345</v>
      </c>
      <c r="H705" s="15">
        <f t="shared" si="101"/>
        <v>14168</v>
      </c>
      <c r="I705" s="15">
        <f t="shared" si="102"/>
        <v>5667.2000000000007</v>
      </c>
      <c r="J705" s="15">
        <f t="shared" si="103"/>
        <v>8500.7999999999993</v>
      </c>
      <c r="K705" s="15">
        <f t="shared" si="104"/>
        <v>1700.1599999999999</v>
      </c>
      <c r="L705" s="12">
        <v>200</v>
      </c>
      <c r="M705" s="12">
        <f t="shared" si="105"/>
        <v>208</v>
      </c>
      <c r="N705" s="15">
        <v>5</v>
      </c>
      <c r="O705" s="15">
        <f t="shared" si="106"/>
        <v>68.115384615384613</v>
      </c>
      <c r="P705" s="15">
        <f t="shared" si="107"/>
        <v>136.23076923076923</v>
      </c>
      <c r="Q705" s="15">
        <f t="shared" si="108"/>
        <v>681.15384615384619</v>
      </c>
      <c r="R705" s="12">
        <v>31781</v>
      </c>
      <c r="S705" s="15">
        <f t="shared" si="109"/>
        <v>37126</v>
      </c>
      <c r="T705" s="20">
        <f>S705/median_percentile!$B$1</f>
        <v>0.73664890820163298</v>
      </c>
      <c r="U705" s="24" t="str" cm="1">
        <f t="array" ref="U705">_xlfn.IFS(T705&lt;1,"underpaid",T705&gt;1,"overpaid",T705=1,"median pay")</f>
        <v>underpaid</v>
      </c>
      <c r="V705" s="5"/>
    </row>
    <row r="706" spans="1:22" x14ac:dyDescent="0.3">
      <c r="A706" s="21" t="s">
        <v>717</v>
      </c>
      <c r="B706" s="8" t="s">
        <v>1716</v>
      </c>
      <c r="C706" s="8" t="s">
        <v>2013</v>
      </c>
      <c r="D706" s="9">
        <v>45453</v>
      </c>
      <c r="E706" s="10">
        <f t="shared" ref="E706:E769" si="110">(F706*12)+(G706*12)</f>
        <v>595188</v>
      </c>
      <c r="F706" s="8">
        <v>41417</v>
      </c>
      <c r="G706" s="8">
        <v>8182</v>
      </c>
      <c r="H706" s="11">
        <f t="shared" ref="H706:H769" si="111">F706*50%</f>
        <v>20708.5</v>
      </c>
      <c r="I706" s="11">
        <f t="shared" ref="I706:I769" si="112">H706*40%</f>
        <v>8283.4</v>
      </c>
      <c r="J706" s="11">
        <f t="shared" ref="J706:J769" si="113">F706-(H706+I706)</f>
        <v>12425.099999999999</v>
      </c>
      <c r="K706" s="11">
        <f t="shared" ref="K706:K769" si="114">H706*12%</f>
        <v>2485.02</v>
      </c>
      <c r="L706" s="8">
        <v>200</v>
      </c>
      <c r="M706" s="8">
        <f t="shared" si="105"/>
        <v>208</v>
      </c>
      <c r="N706" s="11">
        <v>5</v>
      </c>
      <c r="O706" s="11">
        <f t="shared" si="106"/>
        <v>99.56009615384616</v>
      </c>
      <c r="P706" s="11">
        <f t="shared" si="107"/>
        <v>199.12019230769232</v>
      </c>
      <c r="Q706" s="11">
        <f t="shared" si="108"/>
        <v>995.60096153846166</v>
      </c>
      <c r="R706" s="8">
        <v>47605</v>
      </c>
      <c r="S706" s="11">
        <f t="shared" si="109"/>
        <v>55787</v>
      </c>
      <c r="T706" s="20">
        <f>S706/median_percentile!$B$1</f>
        <v>1.1069178646189868</v>
      </c>
      <c r="U706" s="24" t="str" cm="1">
        <f t="array" ref="U706">_xlfn.IFS(T706&lt;1,"underpaid",T706&gt;1,"overpaid",T706=1,"median pay")</f>
        <v>overpaid</v>
      </c>
      <c r="V706" s="5"/>
    </row>
    <row r="707" spans="1:22" x14ac:dyDescent="0.3">
      <c r="A707" s="22" t="s">
        <v>718</v>
      </c>
      <c r="B707" s="12" t="s">
        <v>1717</v>
      </c>
      <c r="C707" s="12" t="s">
        <v>2014</v>
      </c>
      <c r="D707" s="13">
        <v>45097</v>
      </c>
      <c r="E707" s="14">
        <f t="shared" si="110"/>
        <v>890364</v>
      </c>
      <c r="F707" s="12">
        <v>66518</v>
      </c>
      <c r="G707" s="12">
        <v>7679</v>
      </c>
      <c r="H707" s="15">
        <f t="shared" si="111"/>
        <v>33259</v>
      </c>
      <c r="I707" s="15">
        <f t="shared" si="112"/>
        <v>13303.6</v>
      </c>
      <c r="J707" s="15">
        <f t="shared" si="113"/>
        <v>19955.400000000001</v>
      </c>
      <c r="K707" s="15">
        <f t="shared" si="114"/>
        <v>3991.08</v>
      </c>
      <c r="L707" s="12">
        <v>200</v>
      </c>
      <c r="M707" s="12">
        <f t="shared" ref="M707:M770" si="115">8*26</f>
        <v>208</v>
      </c>
      <c r="N707" s="15">
        <v>4</v>
      </c>
      <c r="O707" s="15">
        <f t="shared" ref="O707:O770" si="116">H707/M707</f>
        <v>159.89903846153845</v>
      </c>
      <c r="P707" s="15">
        <f t="shared" ref="P707:P770" si="117">O707*2</f>
        <v>319.79807692307691</v>
      </c>
      <c r="Q707" s="15">
        <f t="shared" ref="Q707:Q770" si="118">P707*N707</f>
        <v>1279.1923076923076</v>
      </c>
      <c r="R707" s="12">
        <v>70560</v>
      </c>
      <c r="S707" s="15">
        <f t="shared" ref="S707:T770" si="119">R707+G707</f>
        <v>78239</v>
      </c>
      <c r="T707" s="20">
        <f>S707/median_percentile!$B$1</f>
        <v>1.5524073137097334</v>
      </c>
      <c r="U707" s="24" t="str" cm="1">
        <f t="array" ref="U707">_xlfn.IFS(T707&lt;1,"underpaid",T707&gt;1,"overpaid",T707=1,"median pay")</f>
        <v>overpaid</v>
      </c>
      <c r="V707" s="5"/>
    </row>
    <row r="708" spans="1:22" x14ac:dyDescent="0.3">
      <c r="A708" s="21" t="s">
        <v>719</v>
      </c>
      <c r="B708" s="8" t="s">
        <v>1718</v>
      </c>
      <c r="C708" s="8" t="s">
        <v>2012</v>
      </c>
      <c r="D708" s="9">
        <v>44926</v>
      </c>
      <c r="E708" s="10">
        <f t="shared" si="110"/>
        <v>368772</v>
      </c>
      <c r="F708" s="8">
        <v>26929</v>
      </c>
      <c r="G708" s="8">
        <v>3802</v>
      </c>
      <c r="H708" s="11">
        <f t="shared" si="111"/>
        <v>13464.5</v>
      </c>
      <c r="I708" s="11">
        <f t="shared" si="112"/>
        <v>5385.8</v>
      </c>
      <c r="J708" s="11">
        <f t="shared" si="113"/>
        <v>8078.7000000000007</v>
      </c>
      <c r="K708" s="11">
        <f t="shared" si="114"/>
        <v>1615.74</v>
      </c>
      <c r="L708" s="8">
        <v>200</v>
      </c>
      <c r="M708" s="8">
        <f t="shared" si="115"/>
        <v>208</v>
      </c>
      <c r="N708" s="11">
        <v>4</v>
      </c>
      <c r="O708" s="11">
        <f t="shared" si="116"/>
        <v>64.73317307692308</v>
      </c>
      <c r="P708" s="11">
        <f t="shared" si="117"/>
        <v>129.46634615384616</v>
      </c>
      <c r="Q708" s="11">
        <f t="shared" si="118"/>
        <v>517.86538461538464</v>
      </c>
      <c r="R708" s="8">
        <v>28916</v>
      </c>
      <c r="S708" s="11">
        <f t="shared" si="119"/>
        <v>32718</v>
      </c>
      <c r="T708" s="20">
        <f>S708/median_percentile!$B$1</f>
        <v>0.64918598767820468</v>
      </c>
      <c r="U708" s="24" t="str" cm="1">
        <f t="array" ref="U708">_xlfn.IFS(T708&lt;1,"underpaid",T708&gt;1,"overpaid",T708=1,"median pay")</f>
        <v>underpaid</v>
      </c>
      <c r="V708" s="5"/>
    </row>
    <row r="709" spans="1:22" x14ac:dyDescent="0.3">
      <c r="A709" s="22" t="s">
        <v>720</v>
      </c>
      <c r="B709" s="12" t="s">
        <v>1719</v>
      </c>
      <c r="C709" s="12" t="s">
        <v>2016</v>
      </c>
      <c r="D709" s="13">
        <v>44876</v>
      </c>
      <c r="E709" s="14">
        <f t="shared" si="110"/>
        <v>442560</v>
      </c>
      <c r="F709" s="12">
        <v>32564</v>
      </c>
      <c r="G709" s="12">
        <v>4316</v>
      </c>
      <c r="H709" s="15">
        <f t="shared" si="111"/>
        <v>16282</v>
      </c>
      <c r="I709" s="15">
        <f t="shared" si="112"/>
        <v>6512.8</v>
      </c>
      <c r="J709" s="15">
        <f t="shared" si="113"/>
        <v>9769.2000000000007</v>
      </c>
      <c r="K709" s="15">
        <f t="shared" si="114"/>
        <v>1953.84</v>
      </c>
      <c r="L709" s="12">
        <v>200</v>
      </c>
      <c r="M709" s="12">
        <f t="shared" si="115"/>
        <v>208</v>
      </c>
      <c r="N709" s="15">
        <v>1</v>
      </c>
      <c r="O709" s="15">
        <f t="shared" si="116"/>
        <v>78.27884615384616</v>
      </c>
      <c r="P709" s="15">
        <f t="shared" si="117"/>
        <v>156.55769230769232</v>
      </c>
      <c r="Q709" s="15">
        <f t="shared" si="118"/>
        <v>156.55769230769232</v>
      </c>
      <c r="R709" s="12">
        <v>35269</v>
      </c>
      <c r="S709" s="15">
        <f t="shared" si="119"/>
        <v>39585</v>
      </c>
      <c r="T709" s="20">
        <f>S709/median_percentile!$B$1</f>
        <v>0.7854400428584184</v>
      </c>
      <c r="U709" s="24" t="str" cm="1">
        <f t="array" ref="U709">_xlfn.IFS(T709&lt;1,"underpaid",T709&gt;1,"overpaid",T709=1,"median pay")</f>
        <v>underpaid</v>
      </c>
      <c r="V709" s="5"/>
    </row>
    <row r="710" spans="1:22" x14ac:dyDescent="0.3">
      <c r="A710" s="21" t="s">
        <v>721</v>
      </c>
      <c r="B710" s="8" t="s">
        <v>1720</v>
      </c>
      <c r="C710" s="8" t="s">
        <v>2014</v>
      </c>
      <c r="D710" s="9">
        <v>45884</v>
      </c>
      <c r="E710" s="10">
        <f t="shared" si="110"/>
        <v>526956</v>
      </c>
      <c r="F710" s="8">
        <v>38785</v>
      </c>
      <c r="G710" s="8">
        <v>5128</v>
      </c>
      <c r="H710" s="11">
        <f t="shared" si="111"/>
        <v>19392.5</v>
      </c>
      <c r="I710" s="11">
        <f t="shared" si="112"/>
        <v>7757</v>
      </c>
      <c r="J710" s="11">
        <f t="shared" si="113"/>
        <v>11635.5</v>
      </c>
      <c r="K710" s="11">
        <f t="shared" si="114"/>
        <v>2327.1</v>
      </c>
      <c r="L710" s="8">
        <v>200</v>
      </c>
      <c r="M710" s="8">
        <f t="shared" si="115"/>
        <v>208</v>
      </c>
      <c r="N710" s="11">
        <v>0</v>
      </c>
      <c r="O710" s="11">
        <f t="shared" si="116"/>
        <v>93.23317307692308</v>
      </c>
      <c r="P710" s="11">
        <f t="shared" si="117"/>
        <v>186.46634615384616</v>
      </c>
      <c r="Q710" s="11">
        <f t="shared" si="118"/>
        <v>0</v>
      </c>
      <c r="R710" s="8">
        <v>41386</v>
      </c>
      <c r="S710" s="11">
        <f t="shared" si="119"/>
        <v>46514</v>
      </c>
      <c r="T710" s="20">
        <f>S710/median_percentile!$B$1</f>
        <v>0.92292429338174742</v>
      </c>
      <c r="U710" s="24" t="str" cm="1">
        <f t="array" ref="U710">_xlfn.IFS(T710&lt;1,"underpaid",T710&gt;1,"overpaid",T710=1,"median pay")</f>
        <v>underpaid</v>
      </c>
      <c r="V710" s="5"/>
    </row>
    <row r="711" spans="1:22" x14ac:dyDescent="0.3">
      <c r="A711" s="22" t="s">
        <v>722</v>
      </c>
      <c r="B711" s="12" t="s">
        <v>1721</v>
      </c>
      <c r="C711" s="12" t="s">
        <v>2015</v>
      </c>
      <c r="D711" s="13">
        <v>43610</v>
      </c>
      <c r="E711" s="14">
        <f t="shared" si="110"/>
        <v>490284</v>
      </c>
      <c r="F711" s="12">
        <v>36927</v>
      </c>
      <c r="G711" s="12">
        <v>3930</v>
      </c>
      <c r="H711" s="15">
        <f t="shared" si="111"/>
        <v>18463.5</v>
      </c>
      <c r="I711" s="15">
        <f t="shared" si="112"/>
        <v>7385.4000000000005</v>
      </c>
      <c r="J711" s="15">
        <f t="shared" si="113"/>
        <v>11078.099999999999</v>
      </c>
      <c r="K711" s="15">
        <f t="shared" si="114"/>
        <v>2215.62</v>
      </c>
      <c r="L711" s="12">
        <v>200</v>
      </c>
      <c r="M711" s="12">
        <f t="shared" si="115"/>
        <v>208</v>
      </c>
      <c r="N711" s="15">
        <v>4</v>
      </c>
      <c r="O711" s="15">
        <f t="shared" si="116"/>
        <v>88.76682692307692</v>
      </c>
      <c r="P711" s="15">
        <f t="shared" si="117"/>
        <v>177.53365384615384</v>
      </c>
      <c r="Q711" s="15">
        <f t="shared" si="118"/>
        <v>710.13461538461536</v>
      </c>
      <c r="R711" s="12">
        <v>38749</v>
      </c>
      <c r="S711" s="15">
        <f t="shared" si="119"/>
        <v>42679</v>
      </c>
      <c r="T711" s="20">
        <f>S711/median_percentile!$B$1</f>
        <v>0.84683075885194992</v>
      </c>
      <c r="U711" s="24" t="str" cm="1">
        <f t="array" ref="U711">_xlfn.IFS(T711&lt;1,"underpaid",T711&gt;1,"overpaid",T711=1,"median pay")</f>
        <v>underpaid</v>
      </c>
      <c r="V711" s="5"/>
    </row>
    <row r="712" spans="1:22" x14ac:dyDescent="0.3">
      <c r="A712" s="21" t="s">
        <v>723</v>
      </c>
      <c r="B712" s="8" t="s">
        <v>1722</v>
      </c>
      <c r="C712" s="8" t="s">
        <v>2012</v>
      </c>
      <c r="D712" s="9">
        <v>43988</v>
      </c>
      <c r="E712" s="10">
        <f t="shared" si="110"/>
        <v>617436</v>
      </c>
      <c r="F712" s="8">
        <v>42945</v>
      </c>
      <c r="G712" s="8">
        <v>8508</v>
      </c>
      <c r="H712" s="11">
        <f t="shared" si="111"/>
        <v>21472.5</v>
      </c>
      <c r="I712" s="11">
        <f t="shared" si="112"/>
        <v>8589</v>
      </c>
      <c r="J712" s="11">
        <f t="shared" si="113"/>
        <v>12883.5</v>
      </c>
      <c r="K712" s="11">
        <f t="shared" si="114"/>
        <v>2576.6999999999998</v>
      </c>
      <c r="L712" s="8">
        <v>200</v>
      </c>
      <c r="M712" s="8">
        <f t="shared" si="115"/>
        <v>208</v>
      </c>
      <c r="N712" s="11">
        <v>2</v>
      </c>
      <c r="O712" s="11">
        <f t="shared" si="116"/>
        <v>103.23317307692308</v>
      </c>
      <c r="P712" s="11">
        <f t="shared" si="117"/>
        <v>206.46634615384616</v>
      </c>
      <c r="Q712" s="11">
        <f t="shared" si="118"/>
        <v>412.93269230769232</v>
      </c>
      <c r="R712" s="8">
        <v>48677</v>
      </c>
      <c r="S712" s="11">
        <f t="shared" si="119"/>
        <v>57185</v>
      </c>
      <c r="T712" s="20">
        <f>S712/median_percentile!$B$1</f>
        <v>1.134656785420201</v>
      </c>
      <c r="U712" s="24" t="str" cm="1">
        <f t="array" ref="U712">_xlfn.IFS(T712&lt;1,"underpaid",T712&gt;1,"overpaid",T712=1,"median pay")</f>
        <v>overpaid</v>
      </c>
      <c r="V712" s="5"/>
    </row>
    <row r="713" spans="1:22" x14ac:dyDescent="0.3">
      <c r="A713" s="22" t="s">
        <v>724</v>
      </c>
      <c r="B713" s="12" t="s">
        <v>1723</v>
      </c>
      <c r="C713" s="12" t="s">
        <v>2012</v>
      </c>
      <c r="D713" s="13">
        <v>45216</v>
      </c>
      <c r="E713" s="14">
        <f t="shared" si="110"/>
        <v>455016</v>
      </c>
      <c r="F713" s="12">
        <v>32829</v>
      </c>
      <c r="G713" s="12">
        <v>5089</v>
      </c>
      <c r="H713" s="15">
        <f t="shared" si="111"/>
        <v>16414.5</v>
      </c>
      <c r="I713" s="15">
        <f t="shared" si="112"/>
        <v>6565.8</v>
      </c>
      <c r="J713" s="15">
        <f t="shared" si="113"/>
        <v>9848.7000000000007</v>
      </c>
      <c r="K713" s="15">
        <f t="shared" si="114"/>
        <v>1969.74</v>
      </c>
      <c r="L713" s="12">
        <v>200</v>
      </c>
      <c r="M713" s="12">
        <f t="shared" si="115"/>
        <v>208</v>
      </c>
      <c r="N713" s="15">
        <v>3</v>
      </c>
      <c r="O713" s="15">
        <f t="shared" si="116"/>
        <v>78.915865384615387</v>
      </c>
      <c r="P713" s="15">
        <f t="shared" si="117"/>
        <v>157.83173076923077</v>
      </c>
      <c r="Q713" s="15">
        <f t="shared" si="118"/>
        <v>473.49519230769232</v>
      </c>
      <c r="R713" s="12">
        <v>36296</v>
      </c>
      <c r="S713" s="15">
        <f t="shared" si="119"/>
        <v>41385</v>
      </c>
      <c r="T713" s="20">
        <f>S713/median_percentile!$B$1</f>
        <v>0.82115539152950978</v>
      </c>
      <c r="U713" s="24" t="str" cm="1">
        <f t="array" ref="U713">_xlfn.IFS(T713&lt;1,"underpaid",T713&gt;1,"overpaid",T713=1,"median pay")</f>
        <v>underpaid</v>
      </c>
      <c r="V713" s="5"/>
    </row>
    <row r="714" spans="1:22" x14ac:dyDescent="0.3">
      <c r="A714" s="21" t="s">
        <v>725</v>
      </c>
      <c r="B714" s="8" t="s">
        <v>1724</v>
      </c>
      <c r="C714" s="8" t="s">
        <v>2011</v>
      </c>
      <c r="D714" s="9">
        <v>43705</v>
      </c>
      <c r="E714" s="10">
        <f t="shared" si="110"/>
        <v>354864</v>
      </c>
      <c r="F714" s="8">
        <v>26356</v>
      </c>
      <c r="G714" s="8">
        <v>3216</v>
      </c>
      <c r="H714" s="11">
        <f t="shared" si="111"/>
        <v>13178</v>
      </c>
      <c r="I714" s="11">
        <f t="shared" si="112"/>
        <v>5271.2000000000007</v>
      </c>
      <c r="J714" s="11">
        <f t="shared" si="113"/>
        <v>7906.7999999999993</v>
      </c>
      <c r="K714" s="11">
        <f t="shared" si="114"/>
        <v>1581.36</v>
      </c>
      <c r="L714" s="8">
        <v>200</v>
      </c>
      <c r="M714" s="8">
        <f t="shared" si="115"/>
        <v>208</v>
      </c>
      <c r="N714" s="11">
        <v>4</v>
      </c>
      <c r="O714" s="11">
        <f t="shared" si="116"/>
        <v>63.355769230769234</v>
      </c>
      <c r="P714" s="11">
        <f t="shared" si="117"/>
        <v>126.71153846153847</v>
      </c>
      <c r="Q714" s="11">
        <f t="shared" si="118"/>
        <v>506.84615384615387</v>
      </c>
      <c r="R714" s="8">
        <v>28010</v>
      </c>
      <c r="S714" s="11">
        <f t="shared" si="119"/>
        <v>31226</v>
      </c>
      <c r="T714" s="20">
        <f>S714/median_percentile!$B$1</f>
        <v>0.61958193200194456</v>
      </c>
      <c r="U714" s="24" t="str" cm="1">
        <f t="array" ref="U714">_xlfn.IFS(T714&lt;1,"underpaid",T714&gt;1,"overpaid",T714=1,"median pay")</f>
        <v>underpaid</v>
      </c>
      <c r="V714" s="5"/>
    </row>
    <row r="715" spans="1:22" x14ac:dyDescent="0.3">
      <c r="A715" s="22" t="s">
        <v>726</v>
      </c>
      <c r="B715" s="12" t="s">
        <v>1725</v>
      </c>
      <c r="C715" s="12" t="s">
        <v>2012</v>
      </c>
      <c r="D715" s="13">
        <v>44654</v>
      </c>
      <c r="E715" s="14">
        <f t="shared" si="110"/>
        <v>617604</v>
      </c>
      <c r="F715" s="12">
        <v>46060</v>
      </c>
      <c r="G715" s="12">
        <v>5407</v>
      </c>
      <c r="H715" s="15">
        <f t="shared" si="111"/>
        <v>23030</v>
      </c>
      <c r="I715" s="15">
        <f t="shared" si="112"/>
        <v>9212</v>
      </c>
      <c r="J715" s="15">
        <f t="shared" si="113"/>
        <v>13818</v>
      </c>
      <c r="K715" s="15">
        <f t="shared" si="114"/>
        <v>2763.6</v>
      </c>
      <c r="L715" s="12">
        <v>200</v>
      </c>
      <c r="M715" s="12">
        <f t="shared" si="115"/>
        <v>208</v>
      </c>
      <c r="N715" s="15">
        <v>0</v>
      </c>
      <c r="O715" s="15">
        <f t="shared" si="116"/>
        <v>110.72115384615384</v>
      </c>
      <c r="P715" s="15">
        <f t="shared" si="117"/>
        <v>221.44230769230768</v>
      </c>
      <c r="Q715" s="15">
        <f t="shared" si="118"/>
        <v>0</v>
      </c>
      <c r="R715" s="12">
        <v>48887</v>
      </c>
      <c r="S715" s="15">
        <f t="shared" si="119"/>
        <v>54294</v>
      </c>
      <c r="T715" s="20">
        <f>S715/median_percentile!$B$1</f>
        <v>1.0772939670823536</v>
      </c>
      <c r="U715" s="24" t="str" cm="1">
        <f t="array" ref="U715">_xlfn.IFS(T715&lt;1,"underpaid",T715&gt;1,"overpaid",T715=1,"median pay")</f>
        <v>overpaid</v>
      </c>
      <c r="V715" s="5"/>
    </row>
    <row r="716" spans="1:22" x14ac:dyDescent="0.3">
      <c r="A716" s="21" t="s">
        <v>727</v>
      </c>
      <c r="B716" s="8" t="s">
        <v>1726</v>
      </c>
      <c r="C716" s="8" t="s">
        <v>2011</v>
      </c>
      <c r="D716" s="9">
        <v>44296</v>
      </c>
      <c r="E716" s="10">
        <f t="shared" si="110"/>
        <v>521856</v>
      </c>
      <c r="F716" s="8">
        <v>38602</v>
      </c>
      <c r="G716" s="8">
        <v>4886</v>
      </c>
      <c r="H716" s="11">
        <f t="shared" si="111"/>
        <v>19301</v>
      </c>
      <c r="I716" s="11">
        <f t="shared" si="112"/>
        <v>7720.4000000000005</v>
      </c>
      <c r="J716" s="11">
        <f t="shared" si="113"/>
        <v>11580.599999999999</v>
      </c>
      <c r="K716" s="11">
        <f t="shared" si="114"/>
        <v>2316.12</v>
      </c>
      <c r="L716" s="8">
        <v>200</v>
      </c>
      <c r="M716" s="8">
        <f t="shared" si="115"/>
        <v>208</v>
      </c>
      <c r="N716" s="11">
        <v>0</v>
      </c>
      <c r="O716" s="11">
        <f t="shared" si="116"/>
        <v>92.793269230769226</v>
      </c>
      <c r="P716" s="11">
        <f t="shared" si="117"/>
        <v>185.58653846153845</v>
      </c>
      <c r="Q716" s="11">
        <f t="shared" si="118"/>
        <v>0</v>
      </c>
      <c r="R716" s="8">
        <v>40972</v>
      </c>
      <c r="S716" s="11">
        <f t="shared" si="119"/>
        <v>45858</v>
      </c>
      <c r="T716" s="20">
        <f>S716/median_percentile!$B$1</f>
        <v>0.90990803297717193</v>
      </c>
      <c r="U716" s="24" t="str" cm="1">
        <f t="array" ref="U716">_xlfn.IFS(T716&lt;1,"underpaid",T716&gt;1,"overpaid",T716=1,"median pay")</f>
        <v>underpaid</v>
      </c>
      <c r="V716" s="5"/>
    </row>
    <row r="717" spans="1:22" x14ac:dyDescent="0.3">
      <c r="A717" s="22" t="s">
        <v>728</v>
      </c>
      <c r="B717" s="12" t="s">
        <v>1727</v>
      </c>
      <c r="C717" s="12" t="s">
        <v>2014</v>
      </c>
      <c r="D717" s="13">
        <v>45389</v>
      </c>
      <c r="E717" s="14">
        <f t="shared" si="110"/>
        <v>931020</v>
      </c>
      <c r="F717" s="12">
        <v>66746</v>
      </c>
      <c r="G717" s="12">
        <v>10839</v>
      </c>
      <c r="H717" s="15">
        <f t="shared" si="111"/>
        <v>33373</v>
      </c>
      <c r="I717" s="15">
        <f t="shared" si="112"/>
        <v>13349.2</v>
      </c>
      <c r="J717" s="15">
        <f t="shared" si="113"/>
        <v>20023.800000000003</v>
      </c>
      <c r="K717" s="15">
        <f t="shared" si="114"/>
        <v>4004.7599999999998</v>
      </c>
      <c r="L717" s="12">
        <v>200</v>
      </c>
      <c r="M717" s="12">
        <f t="shared" si="115"/>
        <v>208</v>
      </c>
      <c r="N717" s="15">
        <v>0</v>
      </c>
      <c r="O717" s="15">
        <f t="shared" si="116"/>
        <v>160.44711538461539</v>
      </c>
      <c r="P717" s="15">
        <f t="shared" si="117"/>
        <v>320.89423076923077</v>
      </c>
      <c r="Q717" s="15">
        <f t="shared" si="118"/>
        <v>0</v>
      </c>
      <c r="R717" s="12">
        <v>73381</v>
      </c>
      <c r="S717" s="15">
        <f t="shared" si="119"/>
        <v>84220</v>
      </c>
      <c r="T717" s="20">
        <f>S717/median_percentile!$B$1</f>
        <v>1.671081480599621</v>
      </c>
      <c r="U717" s="24" t="str" cm="1">
        <f t="array" ref="U717">_xlfn.IFS(T717&lt;1,"underpaid",T717&gt;1,"overpaid",T717=1,"median pay")</f>
        <v>overpaid</v>
      </c>
      <c r="V717" s="5"/>
    </row>
    <row r="718" spans="1:22" x14ac:dyDescent="0.3">
      <c r="A718" s="21" t="s">
        <v>729</v>
      </c>
      <c r="B718" s="8" t="s">
        <v>1728</v>
      </c>
      <c r="C718" s="8" t="s">
        <v>2013</v>
      </c>
      <c r="D718" s="9">
        <v>44988</v>
      </c>
      <c r="E718" s="10">
        <f t="shared" si="110"/>
        <v>693276</v>
      </c>
      <c r="F718" s="8">
        <v>50040</v>
      </c>
      <c r="G718" s="8">
        <v>7733</v>
      </c>
      <c r="H718" s="11">
        <f t="shared" si="111"/>
        <v>25020</v>
      </c>
      <c r="I718" s="11">
        <f t="shared" si="112"/>
        <v>10008</v>
      </c>
      <c r="J718" s="11">
        <f t="shared" si="113"/>
        <v>15012</v>
      </c>
      <c r="K718" s="11">
        <f t="shared" si="114"/>
        <v>3002.4</v>
      </c>
      <c r="L718" s="8">
        <v>200</v>
      </c>
      <c r="M718" s="8">
        <f t="shared" si="115"/>
        <v>208</v>
      </c>
      <c r="N718" s="11">
        <v>2</v>
      </c>
      <c r="O718" s="11">
        <f t="shared" si="116"/>
        <v>120.28846153846153</v>
      </c>
      <c r="P718" s="11">
        <f t="shared" si="117"/>
        <v>240.57692307692307</v>
      </c>
      <c r="Q718" s="11">
        <f t="shared" si="118"/>
        <v>481.15384615384613</v>
      </c>
      <c r="R718" s="8">
        <v>54571</v>
      </c>
      <c r="S718" s="11">
        <f t="shared" si="119"/>
        <v>62304</v>
      </c>
      <c r="T718" s="20">
        <f>S718/median_percentile!$B$1</f>
        <v>1.2362272686687104</v>
      </c>
      <c r="U718" s="24" t="str" cm="1">
        <f t="array" ref="U718">_xlfn.IFS(T718&lt;1,"underpaid",T718&gt;1,"overpaid",T718=1,"median pay")</f>
        <v>overpaid</v>
      </c>
      <c r="V718" s="5"/>
    </row>
    <row r="719" spans="1:22" x14ac:dyDescent="0.3">
      <c r="A719" s="22" t="s">
        <v>730</v>
      </c>
      <c r="B719" s="12" t="s">
        <v>1729</v>
      </c>
      <c r="C719" s="12" t="s">
        <v>2015</v>
      </c>
      <c r="D719" s="13">
        <v>45559</v>
      </c>
      <c r="E719" s="14">
        <f t="shared" si="110"/>
        <v>513528</v>
      </c>
      <c r="F719" s="12">
        <v>36017</v>
      </c>
      <c r="G719" s="12">
        <v>6777</v>
      </c>
      <c r="H719" s="15">
        <f t="shared" si="111"/>
        <v>18008.5</v>
      </c>
      <c r="I719" s="15">
        <f t="shared" si="112"/>
        <v>7203.4000000000005</v>
      </c>
      <c r="J719" s="15">
        <f t="shared" si="113"/>
        <v>10805.099999999999</v>
      </c>
      <c r="K719" s="15">
        <f t="shared" si="114"/>
        <v>2161.02</v>
      </c>
      <c r="L719" s="12">
        <v>200</v>
      </c>
      <c r="M719" s="12">
        <f t="shared" si="115"/>
        <v>208</v>
      </c>
      <c r="N719" s="15">
        <v>5</v>
      </c>
      <c r="O719" s="15">
        <f t="shared" si="116"/>
        <v>86.57932692307692</v>
      </c>
      <c r="P719" s="15">
        <f t="shared" si="117"/>
        <v>173.15865384615384</v>
      </c>
      <c r="Q719" s="15">
        <f t="shared" si="118"/>
        <v>865.79326923076917</v>
      </c>
      <c r="R719" s="12">
        <v>40734</v>
      </c>
      <c r="S719" s="15">
        <f t="shared" si="119"/>
        <v>47511</v>
      </c>
      <c r="T719" s="20">
        <f>S719/median_percentile!$B$1</f>
        <v>0.94270662817345752</v>
      </c>
      <c r="U719" s="24" t="str" cm="1">
        <f t="array" ref="U719">_xlfn.IFS(T719&lt;1,"underpaid",T719&gt;1,"overpaid",T719=1,"median pay")</f>
        <v>underpaid</v>
      </c>
      <c r="V719" s="5"/>
    </row>
    <row r="720" spans="1:22" x14ac:dyDescent="0.3">
      <c r="A720" s="21" t="s">
        <v>731</v>
      </c>
      <c r="B720" s="8" t="s">
        <v>1730</v>
      </c>
      <c r="C720" s="8" t="s">
        <v>2011</v>
      </c>
      <c r="D720" s="9">
        <v>45079</v>
      </c>
      <c r="E720" s="10">
        <f t="shared" si="110"/>
        <v>532200</v>
      </c>
      <c r="F720" s="8">
        <v>39159</v>
      </c>
      <c r="G720" s="8">
        <v>5191</v>
      </c>
      <c r="H720" s="11">
        <f t="shared" si="111"/>
        <v>19579.5</v>
      </c>
      <c r="I720" s="11">
        <f t="shared" si="112"/>
        <v>7831.8</v>
      </c>
      <c r="J720" s="11">
        <f t="shared" si="113"/>
        <v>11747.7</v>
      </c>
      <c r="K720" s="11">
        <f t="shared" si="114"/>
        <v>2349.54</v>
      </c>
      <c r="L720" s="8">
        <v>200</v>
      </c>
      <c r="M720" s="8">
        <f t="shared" si="115"/>
        <v>208</v>
      </c>
      <c r="N720" s="11">
        <v>0</v>
      </c>
      <c r="O720" s="11">
        <f t="shared" si="116"/>
        <v>94.132211538461533</v>
      </c>
      <c r="P720" s="11">
        <f t="shared" si="117"/>
        <v>188.26442307692307</v>
      </c>
      <c r="Q720" s="11">
        <f t="shared" si="118"/>
        <v>0</v>
      </c>
      <c r="R720" s="8">
        <v>42127</v>
      </c>
      <c r="S720" s="11">
        <f t="shared" si="119"/>
        <v>47318</v>
      </c>
      <c r="T720" s="20">
        <f>S720/median_percentile!$B$1</f>
        <v>0.93887714912150166</v>
      </c>
      <c r="U720" s="24" t="str" cm="1">
        <f t="array" ref="U720">_xlfn.IFS(T720&lt;1,"underpaid",T720&gt;1,"overpaid",T720=1,"median pay")</f>
        <v>underpaid</v>
      </c>
      <c r="V720" s="5"/>
    </row>
    <row r="721" spans="1:22" x14ac:dyDescent="0.3">
      <c r="A721" s="22" t="s">
        <v>732</v>
      </c>
      <c r="B721" s="12" t="s">
        <v>1731</v>
      </c>
      <c r="C721" s="12" t="s">
        <v>2016</v>
      </c>
      <c r="D721" s="13">
        <v>44825</v>
      </c>
      <c r="E721" s="14">
        <f t="shared" si="110"/>
        <v>570300</v>
      </c>
      <c r="F721" s="12">
        <v>41589</v>
      </c>
      <c r="G721" s="12">
        <v>5936</v>
      </c>
      <c r="H721" s="15">
        <f t="shared" si="111"/>
        <v>20794.5</v>
      </c>
      <c r="I721" s="15">
        <f t="shared" si="112"/>
        <v>8317.8000000000011</v>
      </c>
      <c r="J721" s="15">
        <f t="shared" si="113"/>
        <v>12476.699999999997</v>
      </c>
      <c r="K721" s="15">
        <f t="shared" si="114"/>
        <v>2495.3399999999997</v>
      </c>
      <c r="L721" s="12">
        <v>200</v>
      </c>
      <c r="M721" s="12">
        <f t="shared" si="115"/>
        <v>208</v>
      </c>
      <c r="N721" s="15">
        <v>1</v>
      </c>
      <c r="O721" s="15">
        <f t="shared" si="116"/>
        <v>99.973557692307693</v>
      </c>
      <c r="P721" s="15">
        <f t="shared" si="117"/>
        <v>199.94711538461539</v>
      </c>
      <c r="Q721" s="15">
        <f t="shared" si="118"/>
        <v>199.94711538461539</v>
      </c>
      <c r="R721" s="12">
        <v>45523</v>
      </c>
      <c r="S721" s="15">
        <f t="shared" si="119"/>
        <v>51459</v>
      </c>
      <c r="T721" s="20">
        <f>S721/median_percentile!$B$1</f>
        <v>1.0210422929253846</v>
      </c>
      <c r="U721" s="24" t="str" cm="1">
        <f t="array" ref="U721">_xlfn.IFS(T721&lt;1,"underpaid",T721&gt;1,"overpaid",T721=1,"median pay")</f>
        <v>overpaid</v>
      </c>
      <c r="V721" s="5"/>
    </row>
    <row r="722" spans="1:22" x14ac:dyDescent="0.3">
      <c r="A722" s="21" t="s">
        <v>733</v>
      </c>
      <c r="B722" s="8" t="s">
        <v>1732</v>
      </c>
      <c r="C722" s="8" t="s">
        <v>2015</v>
      </c>
      <c r="D722" s="9">
        <v>44998</v>
      </c>
      <c r="E722" s="10">
        <f t="shared" si="110"/>
        <v>413484</v>
      </c>
      <c r="F722" s="8">
        <v>29230</v>
      </c>
      <c r="G722" s="8">
        <v>5227</v>
      </c>
      <c r="H722" s="11">
        <f t="shared" si="111"/>
        <v>14615</v>
      </c>
      <c r="I722" s="11">
        <f t="shared" si="112"/>
        <v>5846</v>
      </c>
      <c r="J722" s="11">
        <f t="shared" si="113"/>
        <v>8769</v>
      </c>
      <c r="K722" s="11">
        <f t="shared" si="114"/>
        <v>1753.8</v>
      </c>
      <c r="L722" s="8">
        <v>200</v>
      </c>
      <c r="M722" s="8">
        <f t="shared" si="115"/>
        <v>208</v>
      </c>
      <c r="N722" s="11">
        <v>0</v>
      </c>
      <c r="O722" s="11">
        <f t="shared" si="116"/>
        <v>70.26442307692308</v>
      </c>
      <c r="P722" s="11">
        <f t="shared" si="117"/>
        <v>140.52884615384616</v>
      </c>
      <c r="Q722" s="11">
        <f t="shared" si="118"/>
        <v>0</v>
      </c>
      <c r="R722" s="8">
        <v>32991</v>
      </c>
      <c r="S722" s="11">
        <f t="shared" si="119"/>
        <v>38218</v>
      </c>
      <c r="T722" s="20">
        <f>S722/median_percentile!$B$1</f>
        <v>0.75831621972876173</v>
      </c>
      <c r="U722" s="24" t="str" cm="1">
        <f t="array" ref="U722">_xlfn.IFS(T722&lt;1,"underpaid",T722&gt;1,"overpaid",T722=1,"median pay")</f>
        <v>underpaid</v>
      </c>
      <c r="V722" s="5"/>
    </row>
    <row r="723" spans="1:22" x14ac:dyDescent="0.3">
      <c r="A723" s="22" t="s">
        <v>734</v>
      </c>
      <c r="B723" s="12" t="s">
        <v>1733</v>
      </c>
      <c r="C723" s="12" t="s">
        <v>2014</v>
      </c>
      <c r="D723" s="13">
        <v>43861</v>
      </c>
      <c r="E723" s="14">
        <f t="shared" si="110"/>
        <v>794544</v>
      </c>
      <c r="F723" s="12">
        <v>58037</v>
      </c>
      <c r="G723" s="12">
        <v>8175</v>
      </c>
      <c r="H723" s="15">
        <f t="shared" si="111"/>
        <v>29018.5</v>
      </c>
      <c r="I723" s="15">
        <f t="shared" si="112"/>
        <v>11607.400000000001</v>
      </c>
      <c r="J723" s="15">
        <f t="shared" si="113"/>
        <v>17411.099999999999</v>
      </c>
      <c r="K723" s="15">
        <f t="shared" si="114"/>
        <v>3482.22</v>
      </c>
      <c r="L723" s="12">
        <v>200</v>
      </c>
      <c r="M723" s="12">
        <f t="shared" si="115"/>
        <v>208</v>
      </c>
      <c r="N723" s="15">
        <v>2</v>
      </c>
      <c r="O723" s="15">
        <f t="shared" si="116"/>
        <v>139.51201923076923</v>
      </c>
      <c r="P723" s="15">
        <f t="shared" si="117"/>
        <v>279.02403846153845</v>
      </c>
      <c r="Q723" s="15">
        <f t="shared" si="118"/>
        <v>558.04807692307691</v>
      </c>
      <c r="R723" s="12">
        <v>63013</v>
      </c>
      <c r="S723" s="15">
        <f t="shared" si="119"/>
        <v>71188</v>
      </c>
      <c r="T723" s="20">
        <f>S723/median_percentile!$B$1</f>
        <v>1.4125023562209194</v>
      </c>
      <c r="U723" s="24" t="str" cm="1">
        <f t="array" ref="U723">_xlfn.IFS(T723&lt;1,"underpaid",T723&gt;1,"overpaid",T723=1,"median pay")</f>
        <v>overpaid</v>
      </c>
      <c r="V723" s="5"/>
    </row>
    <row r="724" spans="1:22" x14ac:dyDescent="0.3">
      <c r="A724" s="21" t="s">
        <v>735</v>
      </c>
      <c r="B724" s="8" t="s">
        <v>1734</v>
      </c>
      <c r="C724" s="8" t="s">
        <v>2015</v>
      </c>
      <c r="D724" s="9">
        <v>44173</v>
      </c>
      <c r="E724" s="10">
        <f t="shared" si="110"/>
        <v>677052</v>
      </c>
      <c r="F724" s="8">
        <v>48376</v>
      </c>
      <c r="G724" s="8">
        <v>8045</v>
      </c>
      <c r="H724" s="11">
        <f t="shared" si="111"/>
        <v>24188</v>
      </c>
      <c r="I724" s="11">
        <f t="shared" si="112"/>
        <v>9675.2000000000007</v>
      </c>
      <c r="J724" s="11">
        <f t="shared" si="113"/>
        <v>14512.800000000003</v>
      </c>
      <c r="K724" s="11">
        <f t="shared" si="114"/>
        <v>2902.56</v>
      </c>
      <c r="L724" s="8">
        <v>200</v>
      </c>
      <c r="M724" s="8">
        <f t="shared" si="115"/>
        <v>208</v>
      </c>
      <c r="N724" s="11">
        <v>3</v>
      </c>
      <c r="O724" s="11">
        <f t="shared" si="116"/>
        <v>116.28846153846153</v>
      </c>
      <c r="P724" s="11">
        <f t="shared" si="117"/>
        <v>232.57692307692307</v>
      </c>
      <c r="Q724" s="11">
        <f t="shared" si="118"/>
        <v>697.73076923076917</v>
      </c>
      <c r="R724" s="8">
        <v>53319</v>
      </c>
      <c r="S724" s="11">
        <f t="shared" si="119"/>
        <v>61364</v>
      </c>
      <c r="T724" s="20">
        <f>S724/median_percentile!$B$1</f>
        <v>1.2175759199182514</v>
      </c>
      <c r="U724" s="24" t="str" cm="1">
        <f t="array" ref="U724">_xlfn.IFS(T724&lt;1,"underpaid",T724&gt;1,"overpaid",T724=1,"median pay")</f>
        <v>overpaid</v>
      </c>
      <c r="V724" s="5"/>
    </row>
    <row r="725" spans="1:22" x14ac:dyDescent="0.3">
      <c r="A725" s="22" t="s">
        <v>736</v>
      </c>
      <c r="B725" s="12" t="s">
        <v>1735</v>
      </c>
      <c r="C725" s="12" t="s">
        <v>2011</v>
      </c>
      <c r="D725" s="13">
        <v>44489</v>
      </c>
      <c r="E725" s="14">
        <f t="shared" si="110"/>
        <v>371376</v>
      </c>
      <c r="F725" s="12">
        <v>27907</v>
      </c>
      <c r="G725" s="12">
        <v>3041</v>
      </c>
      <c r="H725" s="15">
        <f t="shared" si="111"/>
        <v>13953.5</v>
      </c>
      <c r="I725" s="15">
        <f t="shared" si="112"/>
        <v>5581.4000000000005</v>
      </c>
      <c r="J725" s="15">
        <f t="shared" si="113"/>
        <v>8372.0999999999985</v>
      </c>
      <c r="K725" s="15">
        <f t="shared" si="114"/>
        <v>1674.4199999999998</v>
      </c>
      <c r="L725" s="12">
        <v>200</v>
      </c>
      <c r="M725" s="12">
        <f t="shared" si="115"/>
        <v>208</v>
      </c>
      <c r="N725" s="15">
        <v>4</v>
      </c>
      <c r="O725" s="15">
        <f t="shared" si="116"/>
        <v>67.084134615384613</v>
      </c>
      <c r="P725" s="15">
        <f t="shared" si="117"/>
        <v>134.16826923076923</v>
      </c>
      <c r="Q725" s="15">
        <f t="shared" si="118"/>
        <v>536.67307692307691</v>
      </c>
      <c r="R725" s="12">
        <v>29074</v>
      </c>
      <c r="S725" s="15">
        <f t="shared" si="119"/>
        <v>32115</v>
      </c>
      <c r="T725" s="20">
        <f>S725/median_percentile!$B$1</f>
        <v>0.63722134587338908</v>
      </c>
      <c r="U725" s="24" t="str" cm="1">
        <f t="array" ref="U725">_xlfn.IFS(T725&lt;1,"underpaid",T725&gt;1,"overpaid",T725=1,"median pay")</f>
        <v>underpaid</v>
      </c>
      <c r="V725" s="5"/>
    </row>
    <row r="726" spans="1:22" x14ac:dyDescent="0.3">
      <c r="A726" s="21" t="s">
        <v>737</v>
      </c>
      <c r="B726" s="8" t="s">
        <v>1736</v>
      </c>
      <c r="C726" s="8" t="s">
        <v>2012</v>
      </c>
      <c r="D726" s="9">
        <v>44835</v>
      </c>
      <c r="E726" s="10">
        <f t="shared" si="110"/>
        <v>488628</v>
      </c>
      <c r="F726" s="8">
        <v>34833</v>
      </c>
      <c r="G726" s="8">
        <v>5886</v>
      </c>
      <c r="H726" s="11">
        <f t="shared" si="111"/>
        <v>17416.5</v>
      </c>
      <c r="I726" s="11">
        <f t="shared" si="112"/>
        <v>6966.6</v>
      </c>
      <c r="J726" s="11">
        <f t="shared" si="113"/>
        <v>10449.900000000001</v>
      </c>
      <c r="K726" s="11">
        <f t="shared" si="114"/>
        <v>2089.98</v>
      </c>
      <c r="L726" s="8">
        <v>200</v>
      </c>
      <c r="M726" s="8">
        <f t="shared" si="115"/>
        <v>208</v>
      </c>
      <c r="N726" s="11">
        <v>2</v>
      </c>
      <c r="O726" s="11">
        <f t="shared" si="116"/>
        <v>83.73317307692308</v>
      </c>
      <c r="P726" s="11">
        <f t="shared" si="117"/>
        <v>167.46634615384616</v>
      </c>
      <c r="Q726" s="11">
        <f t="shared" si="118"/>
        <v>334.93269230769232</v>
      </c>
      <c r="R726" s="8">
        <v>38430</v>
      </c>
      <c r="S726" s="11">
        <f t="shared" si="119"/>
        <v>44316</v>
      </c>
      <c r="T726" s="20">
        <f>S726/median_percentile!$B$1</f>
        <v>0.87931188428227025</v>
      </c>
      <c r="U726" s="24" t="str" cm="1">
        <f t="array" ref="U726">_xlfn.IFS(T726&lt;1,"underpaid",T726&gt;1,"overpaid",T726=1,"median pay")</f>
        <v>underpaid</v>
      </c>
      <c r="V726" s="5"/>
    </row>
    <row r="727" spans="1:22" x14ac:dyDescent="0.3">
      <c r="A727" s="22" t="s">
        <v>738</v>
      </c>
      <c r="B727" s="12" t="s">
        <v>1737</v>
      </c>
      <c r="C727" s="12" t="s">
        <v>2014</v>
      </c>
      <c r="D727" s="13">
        <v>43548</v>
      </c>
      <c r="E727" s="14">
        <f t="shared" si="110"/>
        <v>957192</v>
      </c>
      <c r="F727" s="12">
        <v>70049</v>
      </c>
      <c r="G727" s="12">
        <v>9717</v>
      </c>
      <c r="H727" s="15">
        <f t="shared" si="111"/>
        <v>35024.5</v>
      </c>
      <c r="I727" s="15">
        <f t="shared" si="112"/>
        <v>14009.800000000001</v>
      </c>
      <c r="J727" s="15">
        <f t="shared" si="113"/>
        <v>21014.699999999997</v>
      </c>
      <c r="K727" s="15">
        <f t="shared" si="114"/>
        <v>4202.9399999999996</v>
      </c>
      <c r="L727" s="12">
        <v>200</v>
      </c>
      <c r="M727" s="12">
        <f t="shared" si="115"/>
        <v>208</v>
      </c>
      <c r="N727" s="15">
        <v>2</v>
      </c>
      <c r="O727" s="15">
        <f t="shared" si="116"/>
        <v>168.38701923076923</v>
      </c>
      <c r="P727" s="15">
        <f t="shared" si="117"/>
        <v>336.77403846153845</v>
      </c>
      <c r="Q727" s="15">
        <f t="shared" si="118"/>
        <v>673.54807692307691</v>
      </c>
      <c r="R727" s="12">
        <v>75364</v>
      </c>
      <c r="S727" s="15">
        <f t="shared" si="119"/>
        <v>85081</v>
      </c>
      <c r="T727" s="20">
        <f>S727/median_percentile!$B$1</f>
        <v>1.6881653223806263</v>
      </c>
      <c r="U727" s="24" t="str" cm="1">
        <f t="array" ref="U727">_xlfn.IFS(T727&lt;1,"underpaid",T727&gt;1,"overpaid",T727=1,"median pay")</f>
        <v>overpaid</v>
      </c>
      <c r="V727" s="5"/>
    </row>
    <row r="728" spans="1:22" x14ac:dyDescent="0.3">
      <c r="A728" s="21" t="s">
        <v>739</v>
      </c>
      <c r="B728" s="8" t="s">
        <v>1738</v>
      </c>
      <c r="C728" s="8" t="s">
        <v>2015</v>
      </c>
      <c r="D728" s="9">
        <v>44347</v>
      </c>
      <c r="E728" s="10">
        <f t="shared" si="110"/>
        <v>367296</v>
      </c>
      <c r="F728" s="8">
        <v>26616</v>
      </c>
      <c r="G728" s="8">
        <v>3992</v>
      </c>
      <c r="H728" s="11">
        <f t="shared" si="111"/>
        <v>13308</v>
      </c>
      <c r="I728" s="11">
        <f t="shared" si="112"/>
        <v>5323.2000000000007</v>
      </c>
      <c r="J728" s="11">
        <f t="shared" si="113"/>
        <v>7984.7999999999993</v>
      </c>
      <c r="K728" s="11">
        <f t="shared" si="114"/>
        <v>1596.96</v>
      </c>
      <c r="L728" s="8">
        <v>200</v>
      </c>
      <c r="M728" s="8">
        <f t="shared" si="115"/>
        <v>208</v>
      </c>
      <c r="N728" s="11">
        <v>4</v>
      </c>
      <c r="O728" s="11">
        <f t="shared" si="116"/>
        <v>63.980769230769234</v>
      </c>
      <c r="P728" s="11">
        <f t="shared" si="117"/>
        <v>127.96153846153847</v>
      </c>
      <c r="Q728" s="11">
        <f t="shared" si="118"/>
        <v>511.84615384615387</v>
      </c>
      <c r="R728" s="8">
        <v>29255</v>
      </c>
      <c r="S728" s="11">
        <f t="shared" si="119"/>
        <v>33247</v>
      </c>
      <c r="T728" s="20">
        <f>S728/median_percentile!$B$1</f>
        <v>0.65968233181543101</v>
      </c>
      <c r="U728" s="24" t="str" cm="1">
        <f t="array" ref="U728">_xlfn.IFS(T728&lt;1,"underpaid",T728&gt;1,"overpaid",T728=1,"median pay")</f>
        <v>underpaid</v>
      </c>
      <c r="V728" s="5"/>
    </row>
    <row r="729" spans="1:22" x14ac:dyDescent="0.3">
      <c r="A729" s="22" t="s">
        <v>740</v>
      </c>
      <c r="B729" s="12" t="s">
        <v>1739</v>
      </c>
      <c r="C729" s="12" t="s">
        <v>2015</v>
      </c>
      <c r="D729" s="13">
        <v>44484</v>
      </c>
      <c r="E729" s="14">
        <f t="shared" si="110"/>
        <v>739956</v>
      </c>
      <c r="F729" s="12">
        <v>52445</v>
      </c>
      <c r="G729" s="12">
        <v>9218</v>
      </c>
      <c r="H729" s="15">
        <f t="shared" si="111"/>
        <v>26222.5</v>
      </c>
      <c r="I729" s="15">
        <f t="shared" si="112"/>
        <v>10489</v>
      </c>
      <c r="J729" s="15">
        <f t="shared" si="113"/>
        <v>15733.5</v>
      </c>
      <c r="K729" s="15">
        <f t="shared" si="114"/>
        <v>3146.7</v>
      </c>
      <c r="L729" s="12">
        <v>200</v>
      </c>
      <c r="M729" s="12">
        <f t="shared" si="115"/>
        <v>208</v>
      </c>
      <c r="N729" s="15">
        <v>3</v>
      </c>
      <c r="O729" s="15">
        <f t="shared" si="116"/>
        <v>126.06971153846153</v>
      </c>
      <c r="P729" s="15">
        <f t="shared" si="117"/>
        <v>252.13942307692307</v>
      </c>
      <c r="Q729" s="15">
        <f t="shared" si="118"/>
        <v>756.41826923076917</v>
      </c>
      <c r="R729" s="12">
        <v>58317</v>
      </c>
      <c r="S729" s="15">
        <f t="shared" si="119"/>
        <v>67535</v>
      </c>
      <c r="T729" s="20">
        <f>S729/median_percentile!$B$1</f>
        <v>1.3400200402789766</v>
      </c>
      <c r="U729" s="24" t="str" cm="1">
        <f t="array" ref="U729">_xlfn.IFS(T729&lt;1,"underpaid",T729&gt;1,"overpaid",T729=1,"median pay")</f>
        <v>overpaid</v>
      </c>
      <c r="V729" s="5"/>
    </row>
    <row r="730" spans="1:22" x14ac:dyDescent="0.3">
      <c r="A730" s="21" t="s">
        <v>741</v>
      </c>
      <c r="B730" s="8" t="s">
        <v>1740</v>
      </c>
      <c r="C730" s="8" t="s">
        <v>2012</v>
      </c>
      <c r="D730" s="9">
        <v>45384</v>
      </c>
      <c r="E730" s="10">
        <f t="shared" si="110"/>
        <v>442164</v>
      </c>
      <c r="F730" s="8">
        <v>32362</v>
      </c>
      <c r="G730" s="8">
        <v>4485</v>
      </c>
      <c r="H730" s="11">
        <f t="shared" si="111"/>
        <v>16181</v>
      </c>
      <c r="I730" s="11">
        <f t="shared" si="112"/>
        <v>6472.4000000000005</v>
      </c>
      <c r="J730" s="11">
        <f t="shared" si="113"/>
        <v>9708.5999999999985</v>
      </c>
      <c r="K730" s="11">
        <f t="shared" si="114"/>
        <v>1941.72</v>
      </c>
      <c r="L730" s="8">
        <v>200</v>
      </c>
      <c r="M730" s="8">
        <f t="shared" si="115"/>
        <v>208</v>
      </c>
      <c r="N730" s="11">
        <v>3</v>
      </c>
      <c r="O730" s="11">
        <f t="shared" si="116"/>
        <v>77.793269230769226</v>
      </c>
      <c r="P730" s="11">
        <f t="shared" si="117"/>
        <v>155.58653846153845</v>
      </c>
      <c r="Q730" s="11">
        <f t="shared" si="118"/>
        <v>466.75961538461536</v>
      </c>
      <c r="R730" s="8">
        <v>34706</v>
      </c>
      <c r="S730" s="11">
        <f t="shared" si="119"/>
        <v>39191</v>
      </c>
      <c r="T730" s="20">
        <f>S730/median_percentile!$B$1</f>
        <v>0.7776223498715239</v>
      </c>
      <c r="U730" s="24" t="str" cm="1">
        <f t="array" ref="U730">_xlfn.IFS(T730&lt;1,"underpaid",T730&gt;1,"overpaid",T730=1,"median pay")</f>
        <v>underpaid</v>
      </c>
      <c r="V730" s="5"/>
    </row>
    <row r="731" spans="1:22" x14ac:dyDescent="0.3">
      <c r="A731" s="22" t="s">
        <v>742</v>
      </c>
      <c r="B731" s="12" t="s">
        <v>1741</v>
      </c>
      <c r="C731" s="12" t="s">
        <v>2015</v>
      </c>
      <c r="D731" s="13">
        <v>44475</v>
      </c>
      <c r="E731" s="14">
        <f t="shared" si="110"/>
        <v>344808</v>
      </c>
      <c r="F731" s="12">
        <v>25499</v>
      </c>
      <c r="G731" s="12">
        <v>3235</v>
      </c>
      <c r="H731" s="15">
        <f t="shared" si="111"/>
        <v>12749.5</v>
      </c>
      <c r="I731" s="15">
        <f t="shared" si="112"/>
        <v>5099.8</v>
      </c>
      <c r="J731" s="15">
        <f t="shared" si="113"/>
        <v>7649.7000000000007</v>
      </c>
      <c r="K731" s="15">
        <f t="shared" si="114"/>
        <v>1529.94</v>
      </c>
      <c r="L731" s="12">
        <v>200</v>
      </c>
      <c r="M731" s="12">
        <f t="shared" si="115"/>
        <v>208</v>
      </c>
      <c r="N731" s="15">
        <v>1</v>
      </c>
      <c r="O731" s="15">
        <f t="shared" si="116"/>
        <v>61.29567307692308</v>
      </c>
      <c r="P731" s="15">
        <f t="shared" si="117"/>
        <v>122.59134615384616</v>
      </c>
      <c r="Q731" s="15">
        <f t="shared" si="118"/>
        <v>122.59134615384616</v>
      </c>
      <c r="R731" s="12">
        <v>27005</v>
      </c>
      <c r="S731" s="15">
        <f t="shared" si="119"/>
        <v>30240</v>
      </c>
      <c r="T731" s="20">
        <f>S731/median_percentile!$B$1</f>
        <v>0.60001785767433558</v>
      </c>
      <c r="U731" s="24" t="str" cm="1">
        <f t="array" ref="U731">_xlfn.IFS(T731&lt;1,"underpaid",T731&gt;1,"overpaid",T731=1,"median pay")</f>
        <v>underpaid</v>
      </c>
      <c r="V731" s="5"/>
    </row>
    <row r="732" spans="1:22" x14ac:dyDescent="0.3">
      <c r="A732" s="21" t="s">
        <v>743</v>
      </c>
      <c r="B732" s="8" t="s">
        <v>1742</v>
      </c>
      <c r="C732" s="8" t="s">
        <v>2011</v>
      </c>
      <c r="D732" s="9">
        <v>43814</v>
      </c>
      <c r="E732" s="10">
        <f t="shared" si="110"/>
        <v>338304</v>
      </c>
      <c r="F732" s="8">
        <v>23793</v>
      </c>
      <c r="G732" s="8">
        <v>4399</v>
      </c>
      <c r="H732" s="11">
        <f t="shared" si="111"/>
        <v>11896.5</v>
      </c>
      <c r="I732" s="11">
        <f t="shared" si="112"/>
        <v>4758.6000000000004</v>
      </c>
      <c r="J732" s="11">
        <f t="shared" si="113"/>
        <v>7137.9000000000015</v>
      </c>
      <c r="K732" s="11">
        <f t="shared" si="114"/>
        <v>1427.58</v>
      </c>
      <c r="L732" s="8">
        <v>200</v>
      </c>
      <c r="M732" s="8">
        <f t="shared" si="115"/>
        <v>208</v>
      </c>
      <c r="N732" s="11">
        <v>1</v>
      </c>
      <c r="O732" s="11">
        <f t="shared" si="116"/>
        <v>57.19471153846154</v>
      </c>
      <c r="P732" s="11">
        <f t="shared" si="117"/>
        <v>114.38942307692308</v>
      </c>
      <c r="Q732" s="11">
        <f t="shared" si="118"/>
        <v>114.38942307692308</v>
      </c>
      <c r="R732" s="8">
        <v>26763</v>
      </c>
      <c r="S732" s="11">
        <f t="shared" si="119"/>
        <v>31162</v>
      </c>
      <c r="T732" s="20">
        <f>S732/median_percentile!$B$1</f>
        <v>0.61831205293808345</v>
      </c>
      <c r="U732" s="24" t="str" cm="1">
        <f t="array" ref="U732">_xlfn.IFS(T732&lt;1,"underpaid",T732&gt;1,"overpaid",T732=1,"median pay")</f>
        <v>underpaid</v>
      </c>
      <c r="V732" s="5"/>
    </row>
    <row r="733" spans="1:22" x14ac:dyDescent="0.3">
      <c r="A733" s="22" t="s">
        <v>744</v>
      </c>
      <c r="B733" s="12" t="s">
        <v>1743</v>
      </c>
      <c r="C733" s="12" t="s">
        <v>2011</v>
      </c>
      <c r="D733" s="13">
        <v>44911</v>
      </c>
      <c r="E733" s="14">
        <f t="shared" si="110"/>
        <v>341616</v>
      </c>
      <c r="F733" s="12">
        <v>25817</v>
      </c>
      <c r="G733" s="12">
        <v>2651</v>
      </c>
      <c r="H733" s="15">
        <f t="shared" si="111"/>
        <v>12908.5</v>
      </c>
      <c r="I733" s="15">
        <f t="shared" si="112"/>
        <v>5163.4000000000005</v>
      </c>
      <c r="J733" s="15">
        <f t="shared" si="113"/>
        <v>7745.0999999999985</v>
      </c>
      <c r="K733" s="15">
        <f t="shared" si="114"/>
        <v>1549.02</v>
      </c>
      <c r="L733" s="12">
        <v>200</v>
      </c>
      <c r="M733" s="12">
        <f t="shared" si="115"/>
        <v>208</v>
      </c>
      <c r="N733" s="15">
        <v>5</v>
      </c>
      <c r="O733" s="15">
        <f t="shared" si="116"/>
        <v>62.060096153846153</v>
      </c>
      <c r="P733" s="15">
        <f t="shared" si="117"/>
        <v>124.12019230769231</v>
      </c>
      <c r="Q733" s="15">
        <f t="shared" si="118"/>
        <v>620.60096153846155</v>
      </c>
      <c r="R733" s="12">
        <v>26935</v>
      </c>
      <c r="S733" s="15">
        <f t="shared" si="119"/>
        <v>29586</v>
      </c>
      <c r="T733" s="20">
        <f>S733/median_percentile!$B$1</f>
        <v>0.58704128099050568</v>
      </c>
      <c r="U733" s="24" t="str" cm="1">
        <f t="array" ref="U733">_xlfn.IFS(T733&lt;1,"underpaid",T733&gt;1,"overpaid",T733=1,"median pay")</f>
        <v>underpaid</v>
      </c>
      <c r="V733" s="5"/>
    </row>
    <row r="734" spans="1:22" x14ac:dyDescent="0.3">
      <c r="A734" s="21" t="s">
        <v>745</v>
      </c>
      <c r="B734" s="8" t="s">
        <v>1744</v>
      </c>
      <c r="C734" s="8" t="s">
        <v>2012</v>
      </c>
      <c r="D734" s="9">
        <v>45209</v>
      </c>
      <c r="E734" s="10">
        <f t="shared" si="110"/>
        <v>652272</v>
      </c>
      <c r="F734" s="8">
        <v>45855</v>
      </c>
      <c r="G734" s="8">
        <v>8501</v>
      </c>
      <c r="H734" s="11">
        <f t="shared" si="111"/>
        <v>22927.5</v>
      </c>
      <c r="I734" s="11">
        <f t="shared" si="112"/>
        <v>9171</v>
      </c>
      <c r="J734" s="11">
        <f t="shared" si="113"/>
        <v>13756.5</v>
      </c>
      <c r="K734" s="11">
        <f t="shared" si="114"/>
        <v>2751.2999999999997</v>
      </c>
      <c r="L734" s="8">
        <v>200</v>
      </c>
      <c r="M734" s="8">
        <f t="shared" si="115"/>
        <v>208</v>
      </c>
      <c r="N734" s="11">
        <v>2</v>
      </c>
      <c r="O734" s="11">
        <f t="shared" si="116"/>
        <v>110.22836538461539</v>
      </c>
      <c r="P734" s="11">
        <f t="shared" si="117"/>
        <v>220.45673076923077</v>
      </c>
      <c r="Q734" s="11">
        <f t="shared" si="118"/>
        <v>440.91346153846155</v>
      </c>
      <c r="R734" s="8">
        <v>52169</v>
      </c>
      <c r="S734" s="11">
        <f t="shared" si="119"/>
        <v>60670</v>
      </c>
      <c r="T734" s="20">
        <f>S734/median_percentile!$B$1</f>
        <v>1.2038056688195085</v>
      </c>
      <c r="U734" s="24" t="str" cm="1">
        <f t="array" ref="U734">_xlfn.IFS(T734&lt;1,"underpaid",T734&gt;1,"overpaid",T734=1,"median pay")</f>
        <v>overpaid</v>
      </c>
      <c r="V734" s="5"/>
    </row>
    <row r="735" spans="1:22" x14ac:dyDescent="0.3">
      <c r="A735" s="22" t="s">
        <v>746</v>
      </c>
      <c r="B735" s="12" t="s">
        <v>1745</v>
      </c>
      <c r="C735" s="12" t="s">
        <v>2012</v>
      </c>
      <c r="D735" s="13">
        <v>44164</v>
      </c>
      <c r="E735" s="14">
        <f t="shared" si="110"/>
        <v>563616</v>
      </c>
      <c r="F735" s="12">
        <v>40204</v>
      </c>
      <c r="G735" s="12">
        <v>6764</v>
      </c>
      <c r="H735" s="15">
        <f t="shared" si="111"/>
        <v>20102</v>
      </c>
      <c r="I735" s="15">
        <f t="shared" si="112"/>
        <v>8040.8</v>
      </c>
      <c r="J735" s="15">
        <f t="shared" si="113"/>
        <v>12061.2</v>
      </c>
      <c r="K735" s="15">
        <f t="shared" si="114"/>
        <v>2412.2399999999998</v>
      </c>
      <c r="L735" s="12">
        <v>200</v>
      </c>
      <c r="M735" s="12">
        <f t="shared" si="115"/>
        <v>208</v>
      </c>
      <c r="N735" s="15">
        <v>2</v>
      </c>
      <c r="O735" s="15">
        <f t="shared" si="116"/>
        <v>96.644230769230774</v>
      </c>
      <c r="P735" s="15">
        <f t="shared" si="117"/>
        <v>193.28846153846155</v>
      </c>
      <c r="Q735" s="15">
        <f t="shared" si="118"/>
        <v>386.57692307692309</v>
      </c>
      <c r="R735" s="12">
        <v>44356</v>
      </c>
      <c r="S735" s="15">
        <f t="shared" si="119"/>
        <v>51120</v>
      </c>
      <c r="T735" s="20">
        <f>S735/median_percentile!$B$1</f>
        <v>1.0143159022589958</v>
      </c>
      <c r="U735" s="24" t="str" cm="1">
        <f t="array" ref="U735">_xlfn.IFS(T735&lt;1,"underpaid",T735&gt;1,"overpaid",T735=1,"median pay")</f>
        <v>overpaid</v>
      </c>
      <c r="V735" s="5"/>
    </row>
    <row r="736" spans="1:22" x14ac:dyDescent="0.3">
      <c r="A736" s="21" t="s">
        <v>747</v>
      </c>
      <c r="B736" s="8" t="s">
        <v>1746</v>
      </c>
      <c r="C736" s="8" t="s">
        <v>2011</v>
      </c>
      <c r="D736" s="9">
        <v>45457</v>
      </c>
      <c r="E736" s="10">
        <f t="shared" si="110"/>
        <v>470676</v>
      </c>
      <c r="F736" s="8">
        <v>33782</v>
      </c>
      <c r="G736" s="8">
        <v>5441</v>
      </c>
      <c r="H736" s="11">
        <f t="shared" si="111"/>
        <v>16891</v>
      </c>
      <c r="I736" s="11">
        <f t="shared" si="112"/>
        <v>6756.4000000000005</v>
      </c>
      <c r="J736" s="11">
        <f t="shared" si="113"/>
        <v>10134.599999999999</v>
      </c>
      <c r="K736" s="11">
        <f t="shared" si="114"/>
        <v>2026.9199999999998</v>
      </c>
      <c r="L736" s="8">
        <v>200</v>
      </c>
      <c r="M736" s="8">
        <f t="shared" si="115"/>
        <v>208</v>
      </c>
      <c r="N736" s="11">
        <v>1</v>
      </c>
      <c r="O736" s="11">
        <f t="shared" si="116"/>
        <v>81.206730769230774</v>
      </c>
      <c r="P736" s="11">
        <f t="shared" si="117"/>
        <v>162.41346153846155</v>
      </c>
      <c r="Q736" s="11">
        <f t="shared" si="118"/>
        <v>162.41346153846155</v>
      </c>
      <c r="R736" s="8">
        <v>37560</v>
      </c>
      <c r="S736" s="11">
        <f t="shared" si="119"/>
        <v>43001</v>
      </c>
      <c r="T736" s="20">
        <f>S736/median_percentile!$B$1</f>
        <v>0.85321983789200073</v>
      </c>
      <c r="U736" s="24" t="str" cm="1">
        <f t="array" ref="U736">_xlfn.IFS(T736&lt;1,"underpaid",T736&gt;1,"overpaid",T736=1,"median pay")</f>
        <v>underpaid</v>
      </c>
      <c r="V736" s="5"/>
    </row>
    <row r="737" spans="1:22" x14ac:dyDescent="0.3">
      <c r="A737" s="22" t="s">
        <v>748</v>
      </c>
      <c r="B737" s="12" t="s">
        <v>1747</v>
      </c>
      <c r="C737" s="12" t="s">
        <v>2012</v>
      </c>
      <c r="D737" s="13">
        <v>43863</v>
      </c>
      <c r="E737" s="14">
        <f t="shared" si="110"/>
        <v>385896</v>
      </c>
      <c r="F737" s="12">
        <v>27198</v>
      </c>
      <c r="G737" s="12">
        <v>4960</v>
      </c>
      <c r="H737" s="15">
        <f t="shared" si="111"/>
        <v>13599</v>
      </c>
      <c r="I737" s="15">
        <f t="shared" si="112"/>
        <v>5439.6</v>
      </c>
      <c r="J737" s="15">
        <f t="shared" si="113"/>
        <v>8159.4000000000015</v>
      </c>
      <c r="K737" s="15">
        <f t="shared" si="114"/>
        <v>1631.8799999999999</v>
      </c>
      <c r="L737" s="12">
        <v>200</v>
      </c>
      <c r="M737" s="12">
        <f t="shared" si="115"/>
        <v>208</v>
      </c>
      <c r="N737" s="15">
        <v>4</v>
      </c>
      <c r="O737" s="15">
        <f t="shared" si="116"/>
        <v>65.379807692307693</v>
      </c>
      <c r="P737" s="15">
        <f t="shared" si="117"/>
        <v>130.75961538461539</v>
      </c>
      <c r="Q737" s="15">
        <f t="shared" si="118"/>
        <v>523.03846153846155</v>
      </c>
      <c r="R737" s="12">
        <v>30327</v>
      </c>
      <c r="S737" s="15">
        <f t="shared" si="119"/>
        <v>35287</v>
      </c>
      <c r="T737" s="20">
        <f>S737/median_percentile!$B$1</f>
        <v>0.70015972697600126</v>
      </c>
      <c r="U737" s="24" t="str" cm="1">
        <f t="array" ref="U737">_xlfn.IFS(T737&lt;1,"underpaid",T737&gt;1,"overpaid",T737=1,"median pay")</f>
        <v>underpaid</v>
      </c>
      <c r="V737" s="5"/>
    </row>
    <row r="738" spans="1:22" x14ac:dyDescent="0.3">
      <c r="A738" s="21" t="s">
        <v>749</v>
      </c>
      <c r="B738" s="8" t="s">
        <v>1748</v>
      </c>
      <c r="C738" s="8" t="s">
        <v>2015</v>
      </c>
      <c r="D738" s="9">
        <v>45158</v>
      </c>
      <c r="E738" s="10">
        <f t="shared" si="110"/>
        <v>414672</v>
      </c>
      <c r="F738" s="8">
        <v>29808</v>
      </c>
      <c r="G738" s="8">
        <v>4748</v>
      </c>
      <c r="H738" s="11">
        <f t="shared" si="111"/>
        <v>14904</v>
      </c>
      <c r="I738" s="11">
        <f t="shared" si="112"/>
        <v>5961.6</v>
      </c>
      <c r="J738" s="11">
        <f t="shared" si="113"/>
        <v>8942.4000000000015</v>
      </c>
      <c r="K738" s="11">
        <f t="shared" si="114"/>
        <v>1788.48</v>
      </c>
      <c r="L738" s="8">
        <v>200</v>
      </c>
      <c r="M738" s="8">
        <f t="shared" si="115"/>
        <v>208</v>
      </c>
      <c r="N738" s="11">
        <v>1</v>
      </c>
      <c r="O738" s="11">
        <f t="shared" si="116"/>
        <v>71.65384615384616</v>
      </c>
      <c r="P738" s="11">
        <f t="shared" si="117"/>
        <v>143.30769230769232</v>
      </c>
      <c r="Q738" s="11">
        <f t="shared" si="118"/>
        <v>143.30769230769232</v>
      </c>
      <c r="R738" s="8">
        <v>32568</v>
      </c>
      <c r="S738" s="11">
        <f t="shared" si="119"/>
        <v>37316</v>
      </c>
      <c r="T738" s="20">
        <f>S738/median_percentile!$B$1</f>
        <v>0.7404188616724704</v>
      </c>
      <c r="U738" s="24" t="str" cm="1">
        <f t="array" ref="U738">_xlfn.IFS(T738&lt;1,"underpaid",T738&gt;1,"overpaid",T738=1,"median pay")</f>
        <v>underpaid</v>
      </c>
      <c r="V738" s="5"/>
    </row>
    <row r="739" spans="1:22" x14ac:dyDescent="0.3">
      <c r="A739" s="22" t="s">
        <v>750</v>
      </c>
      <c r="B739" s="12" t="s">
        <v>1749</v>
      </c>
      <c r="C739" s="12" t="s">
        <v>2011</v>
      </c>
      <c r="D739" s="13">
        <v>45251</v>
      </c>
      <c r="E739" s="14">
        <f t="shared" si="110"/>
        <v>502644</v>
      </c>
      <c r="F739" s="12">
        <v>35248</v>
      </c>
      <c r="G739" s="12">
        <v>6639</v>
      </c>
      <c r="H739" s="15">
        <f t="shared" si="111"/>
        <v>17624</v>
      </c>
      <c r="I739" s="15">
        <f t="shared" si="112"/>
        <v>7049.6</v>
      </c>
      <c r="J739" s="15">
        <f t="shared" si="113"/>
        <v>10574.400000000001</v>
      </c>
      <c r="K739" s="15">
        <f t="shared" si="114"/>
        <v>2114.88</v>
      </c>
      <c r="L739" s="12">
        <v>200</v>
      </c>
      <c r="M739" s="12">
        <f t="shared" si="115"/>
        <v>208</v>
      </c>
      <c r="N739" s="15">
        <v>0</v>
      </c>
      <c r="O739" s="15">
        <f t="shared" si="116"/>
        <v>84.730769230769226</v>
      </c>
      <c r="P739" s="15">
        <f t="shared" si="117"/>
        <v>169.46153846153845</v>
      </c>
      <c r="Q739" s="15">
        <f t="shared" si="118"/>
        <v>0</v>
      </c>
      <c r="R739" s="12">
        <v>40160</v>
      </c>
      <c r="S739" s="15">
        <f t="shared" si="119"/>
        <v>46799</v>
      </c>
      <c r="T739" s="20">
        <f>S739/median_percentile!$B$1</f>
        <v>0.9285792235880036</v>
      </c>
      <c r="U739" s="24" t="str" cm="1">
        <f t="array" ref="U739">_xlfn.IFS(T739&lt;1,"underpaid",T739&gt;1,"overpaid",T739=1,"median pay")</f>
        <v>underpaid</v>
      </c>
      <c r="V739" s="5"/>
    </row>
    <row r="740" spans="1:22" x14ac:dyDescent="0.3">
      <c r="A740" s="21" t="s">
        <v>751</v>
      </c>
      <c r="B740" s="8" t="s">
        <v>1750</v>
      </c>
      <c r="C740" s="8" t="s">
        <v>2011</v>
      </c>
      <c r="D740" s="9">
        <v>44452</v>
      </c>
      <c r="E740" s="10">
        <f t="shared" si="110"/>
        <v>423252</v>
      </c>
      <c r="F740" s="8">
        <v>30448</v>
      </c>
      <c r="G740" s="8">
        <v>4823</v>
      </c>
      <c r="H740" s="11">
        <f t="shared" si="111"/>
        <v>15224</v>
      </c>
      <c r="I740" s="11">
        <f t="shared" si="112"/>
        <v>6089.6</v>
      </c>
      <c r="J740" s="11">
        <f t="shared" si="113"/>
        <v>9134.4000000000015</v>
      </c>
      <c r="K740" s="11">
        <f t="shared" si="114"/>
        <v>1826.8799999999999</v>
      </c>
      <c r="L740" s="8">
        <v>200</v>
      </c>
      <c r="M740" s="8">
        <f t="shared" si="115"/>
        <v>208</v>
      </c>
      <c r="N740" s="11">
        <v>1</v>
      </c>
      <c r="O740" s="11">
        <f t="shared" si="116"/>
        <v>73.192307692307693</v>
      </c>
      <c r="P740" s="11">
        <f t="shared" si="117"/>
        <v>146.38461538461539</v>
      </c>
      <c r="Q740" s="11">
        <f t="shared" si="118"/>
        <v>146.38461538461539</v>
      </c>
      <c r="R740" s="8">
        <v>33752</v>
      </c>
      <c r="S740" s="11">
        <f t="shared" si="119"/>
        <v>38575</v>
      </c>
      <c r="T740" s="20">
        <f>S740/median_percentile!$B$1</f>
        <v>0.76539976388186159</v>
      </c>
      <c r="U740" s="24" t="str" cm="1">
        <f t="array" ref="U740">_xlfn.IFS(T740&lt;1,"underpaid",T740&gt;1,"overpaid",T740=1,"median pay")</f>
        <v>underpaid</v>
      </c>
      <c r="V740" s="5"/>
    </row>
    <row r="741" spans="1:22" x14ac:dyDescent="0.3">
      <c r="A741" s="22" t="s">
        <v>752</v>
      </c>
      <c r="B741" s="12" t="s">
        <v>1751</v>
      </c>
      <c r="C741" s="12" t="s">
        <v>2014</v>
      </c>
      <c r="D741" s="13">
        <v>44641</v>
      </c>
      <c r="E741" s="14">
        <f t="shared" si="110"/>
        <v>512340</v>
      </c>
      <c r="F741" s="12">
        <v>38802</v>
      </c>
      <c r="G741" s="12">
        <v>3893</v>
      </c>
      <c r="H741" s="15">
        <f t="shared" si="111"/>
        <v>19401</v>
      </c>
      <c r="I741" s="15">
        <f t="shared" si="112"/>
        <v>7760.4000000000005</v>
      </c>
      <c r="J741" s="15">
        <f t="shared" si="113"/>
        <v>11640.599999999999</v>
      </c>
      <c r="K741" s="15">
        <f t="shared" si="114"/>
        <v>2328.12</v>
      </c>
      <c r="L741" s="12">
        <v>200</v>
      </c>
      <c r="M741" s="12">
        <f t="shared" si="115"/>
        <v>208</v>
      </c>
      <c r="N741" s="15">
        <v>1</v>
      </c>
      <c r="O741" s="15">
        <f t="shared" si="116"/>
        <v>93.274038461538467</v>
      </c>
      <c r="P741" s="15">
        <f t="shared" si="117"/>
        <v>186.54807692307693</v>
      </c>
      <c r="Q741" s="15">
        <f t="shared" si="118"/>
        <v>186.54807692307693</v>
      </c>
      <c r="R741" s="12">
        <v>40167</v>
      </c>
      <c r="S741" s="15">
        <f t="shared" si="119"/>
        <v>44060</v>
      </c>
      <c r="T741" s="20">
        <f>S741/median_percentile!$B$1</f>
        <v>0.87423236802682625</v>
      </c>
      <c r="U741" s="24" t="str" cm="1">
        <f t="array" ref="U741">_xlfn.IFS(T741&lt;1,"underpaid",T741&gt;1,"overpaid",T741=1,"median pay")</f>
        <v>underpaid</v>
      </c>
      <c r="V741" s="5"/>
    </row>
    <row r="742" spans="1:22" x14ac:dyDescent="0.3">
      <c r="A742" s="21" t="s">
        <v>753</v>
      </c>
      <c r="B742" s="8" t="s">
        <v>1752</v>
      </c>
      <c r="C742" s="8" t="s">
        <v>2011</v>
      </c>
      <c r="D742" s="9">
        <v>44962</v>
      </c>
      <c r="E742" s="10">
        <f t="shared" si="110"/>
        <v>469224</v>
      </c>
      <c r="F742" s="8">
        <v>34741</v>
      </c>
      <c r="G742" s="8">
        <v>4361</v>
      </c>
      <c r="H742" s="11">
        <f t="shared" si="111"/>
        <v>17370.5</v>
      </c>
      <c r="I742" s="11">
        <f t="shared" si="112"/>
        <v>6948.2000000000007</v>
      </c>
      <c r="J742" s="11">
        <f t="shared" si="113"/>
        <v>10422.299999999999</v>
      </c>
      <c r="K742" s="11">
        <f t="shared" si="114"/>
        <v>2084.46</v>
      </c>
      <c r="L742" s="8">
        <v>200</v>
      </c>
      <c r="M742" s="8">
        <f t="shared" si="115"/>
        <v>208</v>
      </c>
      <c r="N742" s="11">
        <v>2</v>
      </c>
      <c r="O742" s="11">
        <f t="shared" si="116"/>
        <v>83.512019230769226</v>
      </c>
      <c r="P742" s="11">
        <f t="shared" si="117"/>
        <v>167.02403846153845</v>
      </c>
      <c r="Q742" s="11">
        <f t="shared" si="118"/>
        <v>334.04807692307691</v>
      </c>
      <c r="R742" s="8">
        <v>37397</v>
      </c>
      <c r="S742" s="11">
        <f t="shared" si="119"/>
        <v>41758</v>
      </c>
      <c r="T742" s="20">
        <f>S742/median_percentile!$B$1</f>
        <v>0.8285564054485749</v>
      </c>
      <c r="U742" s="24" t="str" cm="1">
        <f t="array" ref="U742">_xlfn.IFS(T742&lt;1,"underpaid",T742&gt;1,"overpaid",T742=1,"median pay")</f>
        <v>underpaid</v>
      </c>
      <c r="V742" s="5"/>
    </row>
    <row r="743" spans="1:22" x14ac:dyDescent="0.3">
      <c r="A743" s="22" t="s">
        <v>754</v>
      </c>
      <c r="B743" s="12" t="s">
        <v>1753</v>
      </c>
      <c r="C743" s="12" t="s">
        <v>2013</v>
      </c>
      <c r="D743" s="13">
        <v>43763</v>
      </c>
      <c r="E743" s="14">
        <f t="shared" si="110"/>
        <v>780612</v>
      </c>
      <c r="F743" s="12">
        <v>54215</v>
      </c>
      <c r="G743" s="12">
        <v>10836</v>
      </c>
      <c r="H743" s="15">
        <f t="shared" si="111"/>
        <v>27107.5</v>
      </c>
      <c r="I743" s="15">
        <f t="shared" si="112"/>
        <v>10843</v>
      </c>
      <c r="J743" s="15">
        <f t="shared" si="113"/>
        <v>16264.5</v>
      </c>
      <c r="K743" s="15">
        <f t="shared" si="114"/>
        <v>3252.9</v>
      </c>
      <c r="L743" s="12">
        <v>200</v>
      </c>
      <c r="M743" s="12">
        <f t="shared" si="115"/>
        <v>208</v>
      </c>
      <c r="N743" s="15">
        <v>2</v>
      </c>
      <c r="O743" s="15">
        <f t="shared" si="116"/>
        <v>130.32451923076923</v>
      </c>
      <c r="P743" s="15">
        <f t="shared" si="117"/>
        <v>260.64903846153845</v>
      </c>
      <c r="Q743" s="15">
        <f t="shared" si="118"/>
        <v>521.29807692307691</v>
      </c>
      <c r="R743" s="12">
        <v>61599</v>
      </c>
      <c r="S743" s="15">
        <f t="shared" si="119"/>
        <v>72435</v>
      </c>
      <c r="T743" s="20">
        <f>S743/median_percentile!$B$1</f>
        <v>1.4372451561058366</v>
      </c>
      <c r="U743" s="24" t="str" cm="1">
        <f t="array" ref="U743">_xlfn.IFS(T743&lt;1,"underpaid",T743&gt;1,"overpaid",T743=1,"median pay")</f>
        <v>overpaid</v>
      </c>
      <c r="V743" s="5"/>
    </row>
    <row r="744" spans="1:22" x14ac:dyDescent="0.3">
      <c r="A744" s="21" t="s">
        <v>755</v>
      </c>
      <c r="B744" s="8" t="s">
        <v>1754</v>
      </c>
      <c r="C744" s="8" t="s">
        <v>2015</v>
      </c>
      <c r="D744" s="9">
        <v>44096</v>
      </c>
      <c r="E744" s="10">
        <f t="shared" si="110"/>
        <v>647364</v>
      </c>
      <c r="F744" s="8">
        <v>45210</v>
      </c>
      <c r="G744" s="8">
        <v>8737</v>
      </c>
      <c r="H744" s="11">
        <f t="shared" si="111"/>
        <v>22605</v>
      </c>
      <c r="I744" s="11">
        <f t="shared" si="112"/>
        <v>9042</v>
      </c>
      <c r="J744" s="11">
        <f t="shared" si="113"/>
        <v>13563</v>
      </c>
      <c r="K744" s="11">
        <f t="shared" si="114"/>
        <v>2712.6</v>
      </c>
      <c r="L744" s="8">
        <v>200</v>
      </c>
      <c r="M744" s="8">
        <f t="shared" si="115"/>
        <v>208</v>
      </c>
      <c r="N744" s="11">
        <v>5</v>
      </c>
      <c r="O744" s="11">
        <f t="shared" si="116"/>
        <v>108.67788461538461</v>
      </c>
      <c r="P744" s="11">
        <f t="shared" si="117"/>
        <v>217.35576923076923</v>
      </c>
      <c r="Q744" s="11">
        <f t="shared" si="118"/>
        <v>1086.7788461538462</v>
      </c>
      <c r="R744" s="8">
        <v>51788</v>
      </c>
      <c r="S744" s="11">
        <f t="shared" si="119"/>
        <v>60525</v>
      </c>
      <c r="T744" s="20">
        <f>S744/median_percentile!$B$1</f>
        <v>1.2009285990654484</v>
      </c>
      <c r="U744" s="24" t="str" cm="1">
        <f t="array" ref="U744">_xlfn.IFS(T744&lt;1,"underpaid",T744&gt;1,"overpaid",T744=1,"median pay")</f>
        <v>overpaid</v>
      </c>
      <c r="V744" s="5"/>
    </row>
    <row r="745" spans="1:22" x14ac:dyDescent="0.3">
      <c r="A745" s="22" t="s">
        <v>756</v>
      </c>
      <c r="B745" s="12" t="s">
        <v>1755</v>
      </c>
      <c r="C745" s="12" t="s">
        <v>2014</v>
      </c>
      <c r="D745" s="13">
        <v>45440</v>
      </c>
      <c r="E745" s="14">
        <f t="shared" si="110"/>
        <v>658608</v>
      </c>
      <c r="F745" s="12">
        <v>49211</v>
      </c>
      <c r="G745" s="12">
        <v>5673</v>
      </c>
      <c r="H745" s="15">
        <f t="shared" si="111"/>
        <v>24605.5</v>
      </c>
      <c r="I745" s="15">
        <f t="shared" si="112"/>
        <v>9842.2000000000007</v>
      </c>
      <c r="J745" s="15">
        <f t="shared" si="113"/>
        <v>14763.300000000003</v>
      </c>
      <c r="K745" s="15">
        <f t="shared" si="114"/>
        <v>2952.66</v>
      </c>
      <c r="L745" s="12">
        <v>200</v>
      </c>
      <c r="M745" s="12">
        <f t="shared" si="115"/>
        <v>208</v>
      </c>
      <c r="N745" s="15">
        <v>2</v>
      </c>
      <c r="O745" s="15">
        <f t="shared" si="116"/>
        <v>118.29567307692308</v>
      </c>
      <c r="P745" s="15">
        <f t="shared" si="117"/>
        <v>236.59134615384616</v>
      </c>
      <c r="Q745" s="15">
        <f t="shared" si="118"/>
        <v>473.18269230769232</v>
      </c>
      <c r="R745" s="12">
        <v>52552</v>
      </c>
      <c r="S745" s="15">
        <f t="shared" si="119"/>
        <v>58225</v>
      </c>
      <c r="T745" s="20">
        <f>S745/median_percentile!$B$1</f>
        <v>1.1552923202079426</v>
      </c>
      <c r="U745" s="24" t="str" cm="1">
        <f t="array" ref="U745">_xlfn.IFS(T745&lt;1,"underpaid",T745&gt;1,"overpaid",T745=1,"median pay")</f>
        <v>overpaid</v>
      </c>
      <c r="V745" s="5"/>
    </row>
    <row r="746" spans="1:22" x14ac:dyDescent="0.3">
      <c r="A746" s="21" t="s">
        <v>757</v>
      </c>
      <c r="B746" s="8" t="s">
        <v>1756</v>
      </c>
      <c r="C746" s="8" t="s">
        <v>2012</v>
      </c>
      <c r="D746" s="9">
        <v>45749</v>
      </c>
      <c r="E746" s="10">
        <f t="shared" si="110"/>
        <v>467544</v>
      </c>
      <c r="F746" s="8">
        <v>35334</v>
      </c>
      <c r="G746" s="8">
        <v>3628</v>
      </c>
      <c r="H746" s="11">
        <f t="shared" si="111"/>
        <v>17667</v>
      </c>
      <c r="I746" s="11">
        <f t="shared" si="112"/>
        <v>7066.8</v>
      </c>
      <c r="J746" s="11">
        <f t="shared" si="113"/>
        <v>10600.2</v>
      </c>
      <c r="K746" s="11">
        <f t="shared" si="114"/>
        <v>2120.04</v>
      </c>
      <c r="L746" s="8">
        <v>200</v>
      </c>
      <c r="M746" s="8">
        <f t="shared" si="115"/>
        <v>208</v>
      </c>
      <c r="N746" s="11">
        <v>3</v>
      </c>
      <c r="O746" s="11">
        <f t="shared" si="116"/>
        <v>84.9375</v>
      </c>
      <c r="P746" s="11">
        <f t="shared" si="117"/>
        <v>169.875</v>
      </c>
      <c r="Q746" s="11">
        <f t="shared" si="118"/>
        <v>509.625</v>
      </c>
      <c r="R746" s="8">
        <v>36936</v>
      </c>
      <c r="S746" s="11">
        <f t="shared" si="119"/>
        <v>40564</v>
      </c>
      <c r="T746" s="20">
        <f>S746/median_percentile!$B$1</f>
        <v>0.80486522416341755</v>
      </c>
      <c r="U746" s="24" t="str" cm="1">
        <f t="array" ref="U746">_xlfn.IFS(T746&lt;1,"underpaid",T746&gt;1,"overpaid",T746=1,"median pay")</f>
        <v>underpaid</v>
      </c>
      <c r="V746" s="5"/>
    </row>
    <row r="747" spans="1:22" x14ac:dyDescent="0.3">
      <c r="A747" s="22" t="s">
        <v>758</v>
      </c>
      <c r="B747" s="12" t="s">
        <v>1757</v>
      </c>
      <c r="C747" s="12" t="s">
        <v>2011</v>
      </c>
      <c r="D747" s="13">
        <v>45018</v>
      </c>
      <c r="E747" s="14">
        <f t="shared" si="110"/>
        <v>498996</v>
      </c>
      <c r="F747" s="12">
        <v>35520</v>
      </c>
      <c r="G747" s="12">
        <v>6063</v>
      </c>
      <c r="H747" s="15">
        <f t="shared" si="111"/>
        <v>17760</v>
      </c>
      <c r="I747" s="15">
        <f t="shared" si="112"/>
        <v>7104</v>
      </c>
      <c r="J747" s="15">
        <f t="shared" si="113"/>
        <v>10656</v>
      </c>
      <c r="K747" s="15">
        <f t="shared" si="114"/>
        <v>2131.1999999999998</v>
      </c>
      <c r="L747" s="12">
        <v>200</v>
      </c>
      <c r="M747" s="12">
        <f t="shared" si="115"/>
        <v>208</v>
      </c>
      <c r="N747" s="15">
        <v>5</v>
      </c>
      <c r="O747" s="15">
        <f t="shared" si="116"/>
        <v>85.384615384615387</v>
      </c>
      <c r="P747" s="15">
        <f t="shared" si="117"/>
        <v>170.76923076923077</v>
      </c>
      <c r="Q747" s="15">
        <f t="shared" si="118"/>
        <v>853.84615384615381</v>
      </c>
      <c r="R747" s="12">
        <v>39844</v>
      </c>
      <c r="S747" s="15">
        <f t="shared" si="119"/>
        <v>45907</v>
      </c>
      <c r="T747" s="20">
        <f>S747/median_percentile!$B$1</f>
        <v>0.91088028413544053</v>
      </c>
      <c r="U747" s="24" t="str" cm="1">
        <f t="array" ref="U747">_xlfn.IFS(T747&lt;1,"underpaid",T747&gt;1,"overpaid",T747=1,"median pay")</f>
        <v>underpaid</v>
      </c>
      <c r="V747" s="5"/>
    </row>
    <row r="748" spans="1:22" x14ac:dyDescent="0.3">
      <c r="A748" s="21" t="s">
        <v>759</v>
      </c>
      <c r="B748" s="8" t="s">
        <v>1758</v>
      </c>
      <c r="C748" s="8" t="s">
        <v>2014</v>
      </c>
      <c r="D748" s="9">
        <v>45309</v>
      </c>
      <c r="E748" s="10">
        <f t="shared" si="110"/>
        <v>1004352</v>
      </c>
      <c r="F748" s="8">
        <v>71467</v>
      </c>
      <c r="G748" s="8">
        <v>12229</v>
      </c>
      <c r="H748" s="11">
        <f t="shared" si="111"/>
        <v>35733.5</v>
      </c>
      <c r="I748" s="11">
        <f t="shared" si="112"/>
        <v>14293.400000000001</v>
      </c>
      <c r="J748" s="11">
        <f t="shared" si="113"/>
        <v>21440.1</v>
      </c>
      <c r="K748" s="11">
        <f t="shared" si="114"/>
        <v>4288.0199999999995</v>
      </c>
      <c r="L748" s="8">
        <v>200</v>
      </c>
      <c r="M748" s="8">
        <f t="shared" si="115"/>
        <v>208</v>
      </c>
      <c r="N748" s="11">
        <v>3</v>
      </c>
      <c r="O748" s="11">
        <f t="shared" si="116"/>
        <v>171.79567307692307</v>
      </c>
      <c r="P748" s="11">
        <f t="shared" si="117"/>
        <v>343.59134615384613</v>
      </c>
      <c r="Q748" s="11">
        <f t="shared" si="118"/>
        <v>1030.7740384615383</v>
      </c>
      <c r="R748" s="8">
        <v>79209</v>
      </c>
      <c r="S748" s="11">
        <f t="shared" si="119"/>
        <v>91438</v>
      </c>
      <c r="T748" s="20">
        <f>S748/median_percentile!$B$1</f>
        <v>1.8143000287706976</v>
      </c>
      <c r="U748" s="24" t="str" cm="1">
        <f t="array" ref="U748">_xlfn.IFS(T748&lt;1,"underpaid",T748&gt;1,"overpaid",T748=1,"median pay")</f>
        <v>overpaid</v>
      </c>
      <c r="V748" s="5"/>
    </row>
    <row r="749" spans="1:22" x14ac:dyDescent="0.3">
      <c r="A749" s="22" t="s">
        <v>760</v>
      </c>
      <c r="B749" s="12" t="s">
        <v>1759</v>
      </c>
      <c r="C749" s="12" t="s">
        <v>2016</v>
      </c>
      <c r="D749" s="13">
        <v>44122</v>
      </c>
      <c r="E749" s="14">
        <f t="shared" si="110"/>
        <v>507420</v>
      </c>
      <c r="F749" s="12">
        <v>36853</v>
      </c>
      <c r="G749" s="12">
        <v>5432</v>
      </c>
      <c r="H749" s="15">
        <f t="shared" si="111"/>
        <v>18426.5</v>
      </c>
      <c r="I749" s="15">
        <f t="shared" si="112"/>
        <v>7370.6</v>
      </c>
      <c r="J749" s="15">
        <f t="shared" si="113"/>
        <v>11055.900000000001</v>
      </c>
      <c r="K749" s="15">
        <f t="shared" si="114"/>
        <v>2211.1799999999998</v>
      </c>
      <c r="L749" s="12">
        <v>200</v>
      </c>
      <c r="M749" s="12">
        <f t="shared" si="115"/>
        <v>208</v>
      </c>
      <c r="N749" s="15">
        <v>4</v>
      </c>
      <c r="O749" s="15">
        <f t="shared" si="116"/>
        <v>88.588942307692307</v>
      </c>
      <c r="P749" s="15">
        <f t="shared" si="117"/>
        <v>177.17788461538461</v>
      </c>
      <c r="Q749" s="15">
        <f t="shared" si="118"/>
        <v>708.71153846153845</v>
      </c>
      <c r="R749" s="12">
        <v>39874</v>
      </c>
      <c r="S749" s="15">
        <f t="shared" si="119"/>
        <v>45306</v>
      </c>
      <c r="T749" s="20">
        <f>S749/median_percentile!$B$1</f>
        <v>0.89895532605137063</v>
      </c>
      <c r="U749" s="24" t="str" cm="1">
        <f t="array" ref="U749">_xlfn.IFS(T749&lt;1,"underpaid",T749&gt;1,"overpaid",T749=1,"median pay")</f>
        <v>underpaid</v>
      </c>
      <c r="V749" s="5"/>
    </row>
    <row r="750" spans="1:22" x14ac:dyDescent="0.3">
      <c r="A750" s="21" t="s">
        <v>761</v>
      </c>
      <c r="B750" s="8" t="s">
        <v>1760</v>
      </c>
      <c r="C750" s="8" t="s">
        <v>2011</v>
      </c>
      <c r="D750" s="9">
        <v>45029</v>
      </c>
      <c r="E750" s="10">
        <f t="shared" si="110"/>
        <v>618828</v>
      </c>
      <c r="F750" s="8">
        <v>43394</v>
      </c>
      <c r="G750" s="8">
        <v>8175</v>
      </c>
      <c r="H750" s="11">
        <f t="shared" si="111"/>
        <v>21697</v>
      </c>
      <c r="I750" s="11">
        <f t="shared" si="112"/>
        <v>8678.8000000000011</v>
      </c>
      <c r="J750" s="11">
        <f t="shared" si="113"/>
        <v>13018.199999999997</v>
      </c>
      <c r="K750" s="11">
        <f t="shared" si="114"/>
        <v>2603.64</v>
      </c>
      <c r="L750" s="8">
        <v>200</v>
      </c>
      <c r="M750" s="8">
        <f t="shared" si="115"/>
        <v>208</v>
      </c>
      <c r="N750" s="11">
        <v>4</v>
      </c>
      <c r="O750" s="11">
        <f t="shared" si="116"/>
        <v>104.3125</v>
      </c>
      <c r="P750" s="11">
        <f t="shared" si="117"/>
        <v>208.625</v>
      </c>
      <c r="Q750" s="11">
        <f t="shared" si="118"/>
        <v>834.5</v>
      </c>
      <c r="R750" s="8">
        <v>49489</v>
      </c>
      <c r="S750" s="11">
        <f t="shared" si="119"/>
        <v>57664</v>
      </c>
      <c r="T750" s="20">
        <f>S750/median_percentile!$B$1</f>
        <v>1.144161036538786</v>
      </c>
      <c r="U750" s="24" t="str" cm="1">
        <f t="array" ref="U750">_xlfn.IFS(T750&lt;1,"underpaid",T750&gt;1,"overpaid",T750=1,"median pay")</f>
        <v>overpaid</v>
      </c>
      <c r="V750" s="5"/>
    </row>
    <row r="751" spans="1:22" x14ac:dyDescent="0.3">
      <c r="A751" s="22" t="s">
        <v>762</v>
      </c>
      <c r="B751" s="12" t="s">
        <v>1761</v>
      </c>
      <c r="C751" s="12" t="s">
        <v>2011</v>
      </c>
      <c r="D751" s="13">
        <v>43999</v>
      </c>
      <c r="E751" s="14">
        <f t="shared" si="110"/>
        <v>345084</v>
      </c>
      <c r="F751" s="12">
        <v>25859</v>
      </c>
      <c r="G751" s="12">
        <v>2898</v>
      </c>
      <c r="H751" s="15">
        <f t="shared" si="111"/>
        <v>12929.5</v>
      </c>
      <c r="I751" s="15">
        <f t="shared" si="112"/>
        <v>5171.8</v>
      </c>
      <c r="J751" s="15">
        <f t="shared" si="113"/>
        <v>7757.7000000000007</v>
      </c>
      <c r="K751" s="15">
        <f t="shared" si="114"/>
        <v>1551.54</v>
      </c>
      <c r="L751" s="12">
        <v>200</v>
      </c>
      <c r="M751" s="12">
        <f t="shared" si="115"/>
        <v>208</v>
      </c>
      <c r="N751" s="15">
        <v>3</v>
      </c>
      <c r="O751" s="15">
        <f t="shared" si="116"/>
        <v>62.161057692307693</v>
      </c>
      <c r="P751" s="15">
        <f t="shared" si="117"/>
        <v>124.32211538461539</v>
      </c>
      <c r="Q751" s="15">
        <f t="shared" si="118"/>
        <v>372.96634615384619</v>
      </c>
      <c r="R751" s="12">
        <v>27006</v>
      </c>
      <c r="S751" s="15">
        <f t="shared" si="119"/>
        <v>29904</v>
      </c>
      <c r="T751" s="20">
        <f>S751/median_percentile!$B$1</f>
        <v>0.5933509925890651</v>
      </c>
      <c r="U751" s="24" t="str" cm="1">
        <f t="array" ref="U751">_xlfn.IFS(T751&lt;1,"underpaid",T751&gt;1,"overpaid",T751=1,"median pay")</f>
        <v>underpaid</v>
      </c>
      <c r="V751" s="5"/>
    </row>
    <row r="752" spans="1:22" x14ac:dyDescent="0.3">
      <c r="A752" s="21" t="s">
        <v>763</v>
      </c>
      <c r="B752" s="8" t="s">
        <v>1762</v>
      </c>
      <c r="C752" s="8" t="s">
        <v>2014</v>
      </c>
      <c r="D752" s="9">
        <v>44655</v>
      </c>
      <c r="E752" s="10">
        <f t="shared" si="110"/>
        <v>613176</v>
      </c>
      <c r="F752" s="8">
        <v>44271</v>
      </c>
      <c r="G752" s="8">
        <v>6827</v>
      </c>
      <c r="H752" s="11">
        <f t="shared" si="111"/>
        <v>22135.5</v>
      </c>
      <c r="I752" s="11">
        <f t="shared" si="112"/>
        <v>8854.2000000000007</v>
      </c>
      <c r="J752" s="11">
        <f t="shared" si="113"/>
        <v>13281.3</v>
      </c>
      <c r="K752" s="11">
        <f t="shared" si="114"/>
        <v>2656.2599999999998</v>
      </c>
      <c r="L752" s="8">
        <v>200</v>
      </c>
      <c r="M752" s="8">
        <f t="shared" si="115"/>
        <v>208</v>
      </c>
      <c r="N752" s="11">
        <v>3</v>
      </c>
      <c r="O752" s="11">
        <f t="shared" si="116"/>
        <v>106.42067307692308</v>
      </c>
      <c r="P752" s="11">
        <f t="shared" si="117"/>
        <v>212.84134615384616</v>
      </c>
      <c r="Q752" s="11">
        <f t="shared" si="118"/>
        <v>638.52403846153845</v>
      </c>
      <c r="R752" s="8">
        <v>48610</v>
      </c>
      <c r="S752" s="11">
        <f t="shared" si="119"/>
        <v>55437</v>
      </c>
      <c r="T752" s="20">
        <f>S752/median_percentile!$B$1</f>
        <v>1.0999732134884967</v>
      </c>
      <c r="U752" s="24" t="str" cm="1">
        <f t="array" ref="U752">_xlfn.IFS(T752&lt;1,"underpaid",T752&gt;1,"overpaid",T752=1,"median pay")</f>
        <v>overpaid</v>
      </c>
      <c r="V752" s="5"/>
    </row>
    <row r="753" spans="1:22" x14ac:dyDescent="0.3">
      <c r="A753" s="22" t="s">
        <v>764</v>
      </c>
      <c r="B753" s="12" t="s">
        <v>1763</v>
      </c>
      <c r="C753" s="12" t="s">
        <v>2012</v>
      </c>
      <c r="D753" s="13">
        <v>44898</v>
      </c>
      <c r="E753" s="14">
        <f t="shared" si="110"/>
        <v>550056</v>
      </c>
      <c r="F753" s="12">
        <v>38647</v>
      </c>
      <c r="G753" s="12">
        <v>7191</v>
      </c>
      <c r="H753" s="15">
        <f t="shared" si="111"/>
        <v>19323.5</v>
      </c>
      <c r="I753" s="15">
        <f t="shared" si="112"/>
        <v>7729.4000000000005</v>
      </c>
      <c r="J753" s="15">
        <f t="shared" si="113"/>
        <v>11594.099999999999</v>
      </c>
      <c r="K753" s="15">
        <f t="shared" si="114"/>
        <v>2318.8199999999997</v>
      </c>
      <c r="L753" s="12">
        <v>200</v>
      </c>
      <c r="M753" s="12">
        <f t="shared" si="115"/>
        <v>208</v>
      </c>
      <c r="N753" s="15">
        <v>3</v>
      </c>
      <c r="O753" s="15">
        <f t="shared" si="116"/>
        <v>92.901442307692307</v>
      </c>
      <c r="P753" s="15">
        <f t="shared" si="117"/>
        <v>185.80288461538461</v>
      </c>
      <c r="Q753" s="15">
        <f t="shared" si="118"/>
        <v>557.40865384615381</v>
      </c>
      <c r="R753" s="12">
        <v>43964</v>
      </c>
      <c r="S753" s="15">
        <f t="shared" si="119"/>
        <v>51155</v>
      </c>
      <c r="T753" s="20">
        <f>S753/median_percentile!$B$1</f>
        <v>1.0150103673720448</v>
      </c>
      <c r="U753" s="24" t="str" cm="1">
        <f t="array" ref="U753">_xlfn.IFS(T753&lt;1,"underpaid",T753&gt;1,"overpaid",T753=1,"median pay")</f>
        <v>overpaid</v>
      </c>
      <c r="V753" s="5"/>
    </row>
    <row r="754" spans="1:22" x14ac:dyDescent="0.3">
      <c r="A754" s="21" t="s">
        <v>765</v>
      </c>
      <c r="B754" s="8" t="s">
        <v>1764</v>
      </c>
      <c r="C754" s="8" t="s">
        <v>2015</v>
      </c>
      <c r="D754" s="9">
        <v>45760</v>
      </c>
      <c r="E754" s="10">
        <f t="shared" si="110"/>
        <v>695064</v>
      </c>
      <c r="F754" s="8">
        <v>48283</v>
      </c>
      <c r="G754" s="8">
        <v>9639</v>
      </c>
      <c r="H754" s="11">
        <f t="shared" si="111"/>
        <v>24141.5</v>
      </c>
      <c r="I754" s="11">
        <f t="shared" si="112"/>
        <v>9656.6</v>
      </c>
      <c r="J754" s="11">
        <f t="shared" si="113"/>
        <v>14484.900000000001</v>
      </c>
      <c r="K754" s="11">
        <f t="shared" si="114"/>
        <v>2896.98</v>
      </c>
      <c r="L754" s="8">
        <v>200</v>
      </c>
      <c r="M754" s="8">
        <f t="shared" si="115"/>
        <v>208</v>
      </c>
      <c r="N754" s="11">
        <v>5</v>
      </c>
      <c r="O754" s="11">
        <f t="shared" si="116"/>
        <v>116.06490384615384</v>
      </c>
      <c r="P754" s="11">
        <f t="shared" si="117"/>
        <v>232.12980769230768</v>
      </c>
      <c r="Q754" s="11">
        <f t="shared" si="118"/>
        <v>1160.6490384615383</v>
      </c>
      <c r="R754" s="8">
        <v>54826</v>
      </c>
      <c r="S754" s="11">
        <f t="shared" si="119"/>
        <v>64465</v>
      </c>
      <c r="T754" s="20">
        <f>S754/median_percentile!$B$1</f>
        <v>1.2791055289343929</v>
      </c>
      <c r="U754" s="24" t="str" cm="1">
        <f t="array" ref="U754">_xlfn.IFS(T754&lt;1,"underpaid",T754&gt;1,"overpaid",T754=1,"median pay")</f>
        <v>overpaid</v>
      </c>
      <c r="V754" s="5"/>
    </row>
    <row r="755" spans="1:22" x14ac:dyDescent="0.3">
      <c r="A755" s="22" t="s">
        <v>766</v>
      </c>
      <c r="B755" s="12" t="s">
        <v>1765</v>
      </c>
      <c r="C755" s="12" t="s">
        <v>2012</v>
      </c>
      <c r="D755" s="13">
        <v>45679</v>
      </c>
      <c r="E755" s="14">
        <f t="shared" si="110"/>
        <v>578892</v>
      </c>
      <c r="F755" s="12">
        <v>42352</v>
      </c>
      <c r="G755" s="12">
        <v>5889</v>
      </c>
      <c r="H755" s="15">
        <f t="shared" si="111"/>
        <v>21176</v>
      </c>
      <c r="I755" s="15">
        <f t="shared" si="112"/>
        <v>8470.4</v>
      </c>
      <c r="J755" s="15">
        <f t="shared" si="113"/>
        <v>12705.599999999999</v>
      </c>
      <c r="K755" s="15">
        <f t="shared" si="114"/>
        <v>2541.12</v>
      </c>
      <c r="L755" s="12">
        <v>200</v>
      </c>
      <c r="M755" s="12">
        <f t="shared" si="115"/>
        <v>208</v>
      </c>
      <c r="N755" s="15">
        <v>5</v>
      </c>
      <c r="O755" s="15">
        <f t="shared" si="116"/>
        <v>101.80769230769231</v>
      </c>
      <c r="P755" s="15">
        <f t="shared" si="117"/>
        <v>203.61538461538461</v>
      </c>
      <c r="Q755" s="15">
        <f t="shared" si="118"/>
        <v>1018.0769230769231</v>
      </c>
      <c r="R755" s="12">
        <v>45500</v>
      </c>
      <c r="S755" s="15">
        <f t="shared" si="119"/>
        <v>51389</v>
      </c>
      <c r="T755" s="20">
        <f>S755/median_percentile!$B$1</f>
        <v>1.0196533626992867</v>
      </c>
      <c r="U755" s="24" t="str" cm="1">
        <f t="array" ref="U755">_xlfn.IFS(T755&lt;1,"underpaid",T755&gt;1,"overpaid",T755=1,"median pay")</f>
        <v>overpaid</v>
      </c>
      <c r="V755" s="5"/>
    </row>
    <row r="756" spans="1:22" x14ac:dyDescent="0.3">
      <c r="A756" s="21" t="s">
        <v>767</v>
      </c>
      <c r="B756" s="8" t="s">
        <v>1766</v>
      </c>
      <c r="C756" s="8" t="s">
        <v>2011</v>
      </c>
      <c r="D756" s="9">
        <v>45554</v>
      </c>
      <c r="E756" s="10">
        <f t="shared" si="110"/>
        <v>308616</v>
      </c>
      <c r="F756" s="8">
        <v>22275</v>
      </c>
      <c r="G756" s="8">
        <v>3443</v>
      </c>
      <c r="H756" s="11">
        <f t="shared" si="111"/>
        <v>11137.5</v>
      </c>
      <c r="I756" s="11">
        <f t="shared" si="112"/>
        <v>4455</v>
      </c>
      <c r="J756" s="11">
        <f t="shared" si="113"/>
        <v>6682.5</v>
      </c>
      <c r="K756" s="11">
        <f t="shared" si="114"/>
        <v>1336.5</v>
      </c>
      <c r="L756" s="8">
        <v>200</v>
      </c>
      <c r="M756" s="8">
        <f t="shared" si="115"/>
        <v>208</v>
      </c>
      <c r="N756" s="11">
        <v>3</v>
      </c>
      <c r="O756" s="11">
        <f t="shared" si="116"/>
        <v>53.54567307692308</v>
      </c>
      <c r="P756" s="11">
        <f t="shared" si="117"/>
        <v>107.09134615384616</v>
      </c>
      <c r="Q756" s="11">
        <f t="shared" si="118"/>
        <v>321.27403846153845</v>
      </c>
      <c r="R756" s="8">
        <v>24182</v>
      </c>
      <c r="S756" s="11">
        <f t="shared" si="119"/>
        <v>27625</v>
      </c>
      <c r="T756" s="20">
        <f>S756/median_percentile!$B$1</f>
        <v>0.54813139279938883</v>
      </c>
      <c r="U756" s="24" t="str" cm="1">
        <f t="array" ref="U756">_xlfn.IFS(T756&lt;1,"underpaid",T756&gt;1,"overpaid",T756=1,"median pay")</f>
        <v>underpaid</v>
      </c>
      <c r="V756" s="5"/>
    </row>
    <row r="757" spans="1:22" x14ac:dyDescent="0.3">
      <c r="A757" s="22" t="s">
        <v>768</v>
      </c>
      <c r="B757" s="12" t="s">
        <v>1767</v>
      </c>
      <c r="C757" s="12" t="s">
        <v>2011</v>
      </c>
      <c r="D757" s="13">
        <v>44669</v>
      </c>
      <c r="E757" s="14">
        <f t="shared" si="110"/>
        <v>581436</v>
      </c>
      <c r="F757" s="12">
        <v>43048</v>
      </c>
      <c r="G757" s="12">
        <v>5405</v>
      </c>
      <c r="H757" s="15">
        <f t="shared" si="111"/>
        <v>21524</v>
      </c>
      <c r="I757" s="15">
        <f t="shared" si="112"/>
        <v>8609.6</v>
      </c>
      <c r="J757" s="15">
        <f t="shared" si="113"/>
        <v>12914.400000000001</v>
      </c>
      <c r="K757" s="15">
        <f t="shared" si="114"/>
        <v>2582.88</v>
      </c>
      <c r="L757" s="12">
        <v>200</v>
      </c>
      <c r="M757" s="12">
        <f t="shared" si="115"/>
        <v>208</v>
      </c>
      <c r="N757" s="15">
        <v>4</v>
      </c>
      <c r="O757" s="15">
        <f t="shared" si="116"/>
        <v>103.48076923076923</v>
      </c>
      <c r="P757" s="15">
        <f t="shared" si="117"/>
        <v>206.96153846153845</v>
      </c>
      <c r="Q757" s="15">
        <f t="shared" si="118"/>
        <v>827.84615384615381</v>
      </c>
      <c r="R757" s="12">
        <v>46388</v>
      </c>
      <c r="S757" s="15">
        <f t="shared" si="119"/>
        <v>51793</v>
      </c>
      <c r="T757" s="20">
        <f>S757/median_percentile!$B$1</f>
        <v>1.0276694742899095</v>
      </c>
      <c r="U757" s="24" t="str" cm="1">
        <f t="array" ref="U757">_xlfn.IFS(T757&lt;1,"underpaid",T757&gt;1,"overpaid",T757=1,"median pay")</f>
        <v>overpaid</v>
      </c>
      <c r="V757" s="5"/>
    </row>
    <row r="758" spans="1:22" x14ac:dyDescent="0.3">
      <c r="A758" s="21" t="s">
        <v>769</v>
      </c>
      <c r="B758" s="8" t="s">
        <v>1768</v>
      </c>
      <c r="C758" s="8" t="s">
        <v>2015</v>
      </c>
      <c r="D758" s="9">
        <v>45029</v>
      </c>
      <c r="E758" s="10">
        <f t="shared" si="110"/>
        <v>486888</v>
      </c>
      <c r="F758" s="8">
        <v>36335</v>
      </c>
      <c r="G758" s="8">
        <v>4239</v>
      </c>
      <c r="H758" s="11">
        <f t="shared" si="111"/>
        <v>18167.5</v>
      </c>
      <c r="I758" s="11">
        <f t="shared" si="112"/>
        <v>7267</v>
      </c>
      <c r="J758" s="11">
        <f t="shared" si="113"/>
        <v>10900.5</v>
      </c>
      <c r="K758" s="11">
        <f t="shared" si="114"/>
        <v>2180.1</v>
      </c>
      <c r="L758" s="8">
        <v>200</v>
      </c>
      <c r="M758" s="8">
        <f t="shared" si="115"/>
        <v>208</v>
      </c>
      <c r="N758" s="11">
        <v>0</v>
      </c>
      <c r="O758" s="11">
        <f t="shared" si="116"/>
        <v>87.34375</v>
      </c>
      <c r="P758" s="11">
        <f t="shared" si="117"/>
        <v>174.6875</v>
      </c>
      <c r="Q758" s="11">
        <f t="shared" si="118"/>
        <v>0</v>
      </c>
      <c r="R758" s="8">
        <v>38194</v>
      </c>
      <c r="S758" s="11">
        <f t="shared" si="119"/>
        <v>42433</v>
      </c>
      <c r="T758" s="20">
        <f>S758/median_percentile!$B$1</f>
        <v>0.84194966120023418</v>
      </c>
      <c r="U758" s="24" t="str" cm="1">
        <f t="array" ref="U758">_xlfn.IFS(T758&lt;1,"underpaid",T758&gt;1,"overpaid",T758=1,"median pay")</f>
        <v>underpaid</v>
      </c>
      <c r="V758" s="5"/>
    </row>
    <row r="759" spans="1:22" x14ac:dyDescent="0.3">
      <c r="A759" s="22" t="s">
        <v>770</v>
      </c>
      <c r="B759" s="12" t="s">
        <v>1769</v>
      </c>
      <c r="C759" s="12" t="s">
        <v>2015</v>
      </c>
      <c r="D759" s="13">
        <v>43514</v>
      </c>
      <c r="E759" s="14">
        <f t="shared" si="110"/>
        <v>594984</v>
      </c>
      <c r="F759" s="12">
        <v>43856</v>
      </c>
      <c r="G759" s="12">
        <v>5726</v>
      </c>
      <c r="H759" s="15">
        <f t="shared" si="111"/>
        <v>21928</v>
      </c>
      <c r="I759" s="15">
        <f t="shared" si="112"/>
        <v>8771.2000000000007</v>
      </c>
      <c r="J759" s="15">
        <f t="shared" si="113"/>
        <v>13156.8</v>
      </c>
      <c r="K759" s="15">
        <f t="shared" si="114"/>
        <v>2631.36</v>
      </c>
      <c r="L759" s="12">
        <v>200</v>
      </c>
      <c r="M759" s="12">
        <f t="shared" si="115"/>
        <v>208</v>
      </c>
      <c r="N759" s="15">
        <v>0</v>
      </c>
      <c r="O759" s="15">
        <f t="shared" si="116"/>
        <v>105.42307692307692</v>
      </c>
      <c r="P759" s="15">
        <f t="shared" si="117"/>
        <v>210.84615384615384</v>
      </c>
      <c r="Q759" s="15">
        <f t="shared" si="118"/>
        <v>0</v>
      </c>
      <c r="R759" s="12">
        <v>46751</v>
      </c>
      <c r="S759" s="15">
        <f t="shared" si="119"/>
        <v>52477</v>
      </c>
      <c r="T759" s="20">
        <f>S759/median_percentile!$B$1</f>
        <v>1.0412413067849242</v>
      </c>
      <c r="U759" s="24" t="str" cm="1">
        <f t="array" ref="U759">_xlfn.IFS(T759&lt;1,"underpaid",T759&gt;1,"overpaid",T759=1,"median pay")</f>
        <v>overpaid</v>
      </c>
      <c r="V759" s="5"/>
    </row>
    <row r="760" spans="1:22" x14ac:dyDescent="0.3">
      <c r="A760" s="21" t="s">
        <v>771</v>
      </c>
      <c r="B760" s="8" t="s">
        <v>1770</v>
      </c>
      <c r="C760" s="8" t="s">
        <v>2012</v>
      </c>
      <c r="D760" s="9">
        <v>45707</v>
      </c>
      <c r="E760" s="10">
        <f t="shared" si="110"/>
        <v>383640</v>
      </c>
      <c r="F760" s="8">
        <v>28563</v>
      </c>
      <c r="G760" s="8">
        <v>3407</v>
      </c>
      <c r="H760" s="11">
        <f t="shared" si="111"/>
        <v>14281.5</v>
      </c>
      <c r="I760" s="11">
        <f t="shared" si="112"/>
        <v>5712.6</v>
      </c>
      <c r="J760" s="11">
        <f t="shared" si="113"/>
        <v>8568.9000000000015</v>
      </c>
      <c r="K760" s="11">
        <f t="shared" si="114"/>
        <v>1713.78</v>
      </c>
      <c r="L760" s="8">
        <v>200</v>
      </c>
      <c r="M760" s="8">
        <f t="shared" si="115"/>
        <v>208</v>
      </c>
      <c r="N760" s="11">
        <v>1</v>
      </c>
      <c r="O760" s="11">
        <f t="shared" si="116"/>
        <v>68.661057692307693</v>
      </c>
      <c r="P760" s="11">
        <f t="shared" si="117"/>
        <v>137.32211538461539</v>
      </c>
      <c r="Q760" s="11">
        <f t="shared" si="118"/>
        <v>137.32211538461539</v>
      </c>
      <c r="R760" s="8">
        <v>30533</v>
      </c>
      <c r="S760" s="11">
        <f t="shared" si="119"/>
        <v>33940</v>
      </c>
      <c r="T760" s="20">
        <f>S760/median_percentile!$B$1</f>
        <v>0.67343274105380124</v>
      </c>
      <c r="U760" s="24" t="str" cm="1">
        <f t="array" ref="U760">_xlfn.IFS(T760&lt;1,"underpaid",T760&gt;1,"overpaid",T760=1,"median pay")</f>
        <v>underpaid</v>
      </c>
      <c r="V760" s="5"/>
    </row>
    <row r="761" spans="1:22" x14ac:dyDescent="0.3">
      <c r="A761" s="22" t="s">
        <v>772</v>
      </c>
      <c r="B761" s="12" t="s">
        <v>1771</v>
      </c>
      <c r="C761" s="12" t="s">
        <v>2015</v>
      </c>
      <c r="D761" s="13">
        <v>43964</v>
      </c>
      <c r="E761" s="14">
        <f t="shared" si="110"/>
        <v>403536</v>
      </c>
      <c r="F761" s="12">
        <v>28726</v>
      </c>
      <c r="G761" s="12">
        <v>4902</v>
      </c>
      <c r="H761" s="15">
        <f t="shared" si="111"/>
        <v>14363</v>
      </c>
      <c r="I761" s="15">
        <f t="shared" si="112"/>
        <v>5745.2000000000007</v>
      </c>
      <c r="J761" s="15">
        <f t="shared" si="113"/>
        <v>8617.7999999999993</v>
      </c>
      <c r="K761" s="15">
        <f t="shared" si="114"/>
        <v>1723.56</v>
      </c>
      <c r="L761" s="12">
        <v>200</v>
      </c>
      <c r="M761" s="12">
        <f t="shared" si="115"/>
        <v>208</v>
      </c>
      <c r="N761" s="15">
        <v>2</v>
      </c>
      <c r="O761" s="15">
        <f t="shared" si="116"/>
        <v>69.052884615384613</v>
      </c>
      <c r="P761" s="15">
        <f t="shared" si="117"/>
        <v>138.10576923076923</v>
      </c>
      <c r="Q761" s="15">
        <f t="shared" si="118"/>
        <v>276.21153846153845</v>
      </c>
      <c r="R761" s="12">
        <v>31705</v>
      </c>
      <c r="S761" s="15">
        <f t="shared" si="119"/>
        <v>36607</v>
      </c>
      <c r="T761" s="20">
        <f>S761/median_percentile!$B$1</f>
        <v>0.72635098266813491</v>
      </c>
      <c r="U761" s="24" t="str" cm="1">
        <f t="array" ref="U761">_xlfn.IFS(T761&lt;1,"underpaid",T761&gt;1,"overpaid",T761=1,"median pay")</f>
        <v>underpaid</v>
      </c>
      <c r="V761" s="5"/>
    </row>
    <row r="762" spans="1:22" x14ac:dyDescent="0.3">
      <c r="A762" s="21" t="s">
        <v>773</v>
      </c>
      <c r="B762" s="8" t="s">
        <v>1772</v>
      </c>
      <c r="C762" s="8" t="s">
        <v>2016</v>
      </c>
      <c r="D762" s="9">
        <v>45670</v>
      </c>
      <c r="E762" s="10">
        <f t="shared" si="110"/>
        <v>406524</v>
      </c>
      <c r="F762" s="8">
        <v>29091</v>
      </c>
      <c r="G762" s="8">
        <v>4786</v>
      </c>
      <c r="H762" s="11">
        <f t="shared" si="111"/>
        <v>14545.5</v>
      </c>
      <c r="I762" s="11">
        <f t="shared" si="112"/>
        <v>5818.2000000000007</v>
      </c>
      <c r="J762" s="11">
        <f t="shared" si="113"/>
        <v>8727.2999999999993</v>
      </c>
      <c r="K762" s="11">
        <f t="shared" si="114"/>
        <v>1745.46</v>
      </c>
      <c r="L762" s="8">
        <v>200</v>
      </c>
      <c r="M762" s="8">
        <f t="shared" si="115"/>
        <v>208</v>
      </c>
      <c r="N762" s="11">
        <v>1</v>
      </c>
      <c r="O762" s="11">
        <f t="shared" si="116"/>
        <v>69.930288461538467</v>
      </c>
      <c r="P762" s="11">
        <f t="shared" si="117"/>
        <v>139.86057692307693</v>
      </c>
      <c r="Q762" s="11">
        <f t="shared" si="118"/>
        <v>139.86057692307693</v>
      </c>
      <c r="R762" s="8">
        <v>32174</v>
      </c>
      <c r="S762" s="11">
        <f t="shared" si="119"/>
        <v>36960</v>
      </c>
      <c r="T762" s="20">
        <f>S762/median_percentile!$B$1</f>
        <v>0.73335515937974349</v>
      </c>
      <c r="U762" s="24" t="str" cm="1">
        <f t="array" ref="U762">_xlfn.IFS(T762&lt;1,"underpaid",T762&gt;1,"overpaid",T762=1,"median pay")</f>
        <v>underpaid</v>
      </c>
      <c r="V762" s="5"/>
    </row>
    <row r="763" spans="1:22" x14ac:dyDescent="0.3">
      <c r="A763" s="22" t="s">
        <v>774</v>
      </c>
      <c r="B763" s="12" t="s">
        <v>1773</v>
      </c>
      <c r="C763" s="12" t="s">
        <v>2013</v>
      </c>
      <c r="D763" s="13">
        <v>44863</v>
      </c>
      <c r="E763" s="14">
        <f t="shared" si="110"/>
        <v>441396</v>
      </c>
      <c r="F763" s="12">
        <v>33046</v>
      </c>
      <c r="G763" s="12">
        <v>3737</v>
      </c>
      <c r="H763" s="15">
        <f t="shared" si="111"/>
        <v>16523</v>
      </c>
      <c r="I763" s="15">
        <f t="shared" si="112"/>
        <v>6609.2000000000007</v>
      </c>
      <c r="J763" s="15">
        <f t="shared" si="113"/>
        <v>9913.7999999999993</v>
      </c>
      <c r="K763" s="15">
        <f t="shared" si="114"/>
        <v>1982.76</v>
      </c>
      <c r="L763" s="12">
        <v>200</v>
      </c>
      <c r="M763" s="12">
        <f t="shared" si="115"/>
        <v>208</v>
      </c>
      <c r="N763" s="15">
        <v>2</v>
      </c>
      <c r="O763" s="15">
        <f t="shared" si="116"/>
        <v>79.4375</v>
      </c>
      <c r="P763" s="15">
        <f t="shared" si="117"/>
        <v>158.875</v>
      </c>
      <c r="Q763" s="15">
        <f t="shared" si="118"/>
        <v>317.75</v>
      </c>
      <c r="R763" s="12">
        <v>34876</v>
      </c>
      <c r="S763" s="15">
        <f t="shared" si="119"/>
        <v>38613</v>
      </c>
      <c r="T763" s="20">
        <f>S763/median_percentile!$B$1</f>
        <v>0.76615375457602908</v>
      </c>
      <c r="U763" s="24" t="str" cm="1">
        <f t="array" ref="U763">_xlfn.IFS(T763&lt;1,"underpaid",T763&gt;1,"overpaid",T763=1,"median pay")</f>
        <v>underpaid</v>
      </c>
      <c r="V763" s="5"/>
    </row>
    <row r="764" spans="1:22" x14ac:dyDescent="0.3">
      <c r="A764" s="21" t="s">
        <v>775</v>
      </c>
      <c r="B764" s="8" t="s">
        <v>1774</v>
      </c>
      <c r="C764" s="8" t="s">
        <v>2015</v>
      </c>
      <c r="D764" s="9">
        <v>45867</v>
      </c>
      <c r="E764" s="10">
        <f t="shared" si="110"/>
        <v>722412</v>
      </c>
      <c r="F764" s="8">
        <v>50261</v>
      </c>
      <c r="G764" s="8">
        <v>9940</v>
      </c>
      <c r="H764" s="11">
        <f t="shared" si="111"/>
        <v>25130.5</v>
      </c>
      <c r="I764" s="11">
        <f t="shared" si="112"/>
        <v>10052.200000000001</v>
      </c>
      <c r="J764" s="11">
        <f t="shared" si="113"/>
        <v>15078.300000000003</v>
      </c>
      <c r="K764" s="11">
        <f t="shared" si="114"/>
        <v>3015.66</v>
      </c>
      <c r="L764" s="8">
        <v>200</v>
      </c>
      <c r="M764" s="8">
        <f t="shared" si="115"/>
        <v>208</v>
      </c>
      <c r="N764" s="11">
        <v>1</v>
      </c>
      <c r="O764" s="11">
        <f t="shared" si="116"/>
        <v>120.81971153846153</v>
      </c>
      <c r="P764" s="11">
        <f t="shared" si="117"/>
        <v>241.63942307692307</v>
      </c>
      <c r="Q764" s="11">
        <f t="shared" si="118"/>
        <v>241.63942307692307</v>
      </c>
      <c r="R764" s="8">
        <v>57823</v>
      </c>
      <c r="S764" s="11">
        <f t="shared" si="119"/>
        <v>67763</v>
      </c>
      <c r="T764" s="20">
        <f>S764/median_percentile!$B$1</f>
        <v>1.3445439844439815</v>
      </c>
      <c r="U764" s="24" t="str" cm="1">
        <f t="array" ref="U764">_xlfn.IFS(T764&lt;1,"underpaid",T764&gt;1,"overpaid",T764=1,"median pay")</f>
        <v>overpaid</v>
      </c>
      <c r="V764" s="5"/>
    </row>
    <row r="765" spans="1:22" x14ac:dyDescent="0.3">
      <c r="A765" s="22" t="s">
        <v>776</v>
      </c>
      <c r="B765" s="12" t="s">
        <v>1775</v>
      </c>
      <c r="C765" s="12" t="s">
        <v>2014</v>
      </c>
      <c r="D765" s="13">
        <v>44326</v>
      </c>
      <c r="E765" s="14">
        <f t="shared" si="110"/>
        <v>514620</v>
      </c>
      <c r="F765" s="12">
        <v>37080</v>
      </c>
      <c r="G765" s="12">
        <v>5805</v>
      </c>
      <c r="H765" s="15">
        <f t="shared" si="111"/>
        <v>18540</v>
      </c>
      <c r="I765" s="15">
        <f t="shared" si="112"/>
        <v>7416</v>
      </c>
      <c r="J765" s="15">
        <f t="shared" si="113"/>
        <v>11124</v>
      </c>
      <c r="K765" s="15">
        <f t="shared" si="114"/>
        <v>2224.7999999999997</v>
      </c>
      <c r="L765" s="12">
        <v>200</v>
      </c>
      <c r="M765" s="12">
        <f t="shared" si="115"/>
        <v>208</v>
      </c>
      <c r="N765" s="15">
        <v>5</v>
      </c>
      <c r="O765" s="15">
        <f t="shared" si="116"/>
        <v>89.134615384615387</v>
      </c>
      <c r="P765" s="15">
        <f t="shared" si="117"/>
        <v>178.26923076923077</v>
      </c>
      <c r="Q765" s="15">
        <f t="shared" si="118"/>
        <v>891.34615384615381</v>
      </c>
      <c r="R765" s="12">
        <v>40770</v>
      </c>
      <c r="S765" s="15">
        <f t="shared" si="119"/>
        <v>46575</v>
      </c>
      <c r="T765" s="20">
        <f>S765/median_percentile!$B$1</f>
        <v>0.92413464686448998</v>
      </c>
      <c r="U765" s="24" t="str" cm="1">
        <f t="array" ref="U765">_xlfn.IFS(T765&lt;1,"underpaid",T765&gt;1,"overpaid",T765=1,"median pay")</f>
        <v>underpaid</v>
      </c>
      <c r="V765" s="5"/>
    </row>
    <row r="766" spans="1:22" x14ac:dyDescent="0.3">
      <c r="A766" s="21" t="s">
        <v>777</v>
      </c>
      <c r="B766" s="8" t="s">
        <v>1776</v>
      </c>
      <c r="C766" s="8" t="s">
        <v>2015</v>
      </c>
      <c r="D766" s="9">
        <v>45430</v>
      </c>
      <c r="E766" s="10">
        <f t="shared" si="110"/>
        <v>448440</v>
      </c>
      <c r="F766" s="8">
        <v>33026</v>
      </c>
      <c r="G766" s="8">
        <v>4344</v>
      </c>
      <c r="H766" s="11">
        <f t="shared" si="111"/>
        <v>16513</v>
      </c>
      <c r="I766" s="11">
        <f t="shared" si="112"/>
        <v>6605.2000000000007</v>
      </c>
      <c r="J766" s="11">
        <f t="shared" si="113"/>
        <v>9907.7999999999993</v>
      </c>
      <c r="K766" s="11">
        <f t="shared" si="114"/>
        <v>1981.56</v>
      </c>
      <c r="L766" s="8">
        <v>200</v>
      </c>
      <c r="M766" s="8">
        <f t="shared" si="115"/>
        <v>208</v>
      </c>
      <c r="N766" s="11">
        <v>2</v>
      </c>
      <c r="O766" s="11">
        <f t="shared" si="116"/>
        <v>79.38942307692308</v>
      </c>
      <c r="P766" s="11">
        <f t="shared" si="117"/>
        <v>158.77884615384616</v>
      </c>
      <c r="Q766" s="11">
        <f t="shared" si="118"/>
        <v>317.55769230769232</v>
      </c>
      <c r="R766" s="8">
        <v>35189</v>
      </c>
      <c r="S766" s="11">
        <f t="shared" si="119"/>
        <v>39533</v>
      </c>
      <c r="T766" s="20">
        <f>S766/median_percentile!$B$1</f>
        <v>0.78440826611903136</v>
      </c>
      <c r="U766" s="24" t="str" cm="1">
        <f t="array" ref="U766">_xlfn.IFS(T766&lt;1,"underpaid",T766&gt;1,"overpaid",T766=1,"median pay")</f>
        <v>underpaid</v>
      </c>
      <c r="V766" s="5"/>
    </row>
    <row r="767" spans="1:22" x14ac:dyDescent="0.3">
      <c r="A767" s="22" t="s">
        <v>778</v>
      </c>
      <c r="B767" s="12" t="s">
        <v>1777</v>
      </c>
      <c r="C767" s="12" t="s">
        <v>2012</v>
      </c>
      <c r="D767" s="13">
        <v>44499</v>
      </c>
      <c r="E767" s="14">
        <f t="shared" si="110"/>
        <v>600516</v>
      </c>
      <c r="F767" s="12">
        <v>42270</v>
      </c>
      <c r="G767" s="12">
        <v>7773</v>
      </c>
      <c r="H767" s="15">
        <f t="shared" si="111"/>
        <v>21135</v>
      </c>
      <c r="I767" s="15">
        <f t="shared" si="112"/>
        <v>8454</v>
      </c>
      <c r="J767" s="15">
        <f t="shared" si="113"/>
        <v>12681</v>
      </c>
      <c r="K767" s="15">
        <f t="shared" si="114"/>
        <v>2536.1999999999998</v>
      </c>
      <c r="L767" s="12">
        <v>200</v>
      </c>
      <c r="M767" s="12">
        <f t="shared" si="115"/>
        <v>208</v>
      </c>
      <c r="N767" s="15">
        <v>5</v>
      </c>
      <c r="O767" s="15">
        <f t="shared" si="116"/>
        <v>101.61057692307692</v>
      </c>
      <c r="P767" s="15">
        <f t="shared" si="117"/>
        <v>203.22115384615384</v>
      </c>
      <c r="Q767" s="15">
        <f t="shared" si="118"/>
        <v>1016.1057692307692</v>
      </c>
      <c r="R767" s="12">
        <v>47659</v>
      </c>
      <c r="S767" s="15">
        <f t="shared" si="119"/>
        <v>55432</v>
      </c>
      <c r="T767" s="20">
        <f>S767/median_percentile!$B$1</f>
        <v>1.0998740041866326</v>
      </c>
      <c r="U767" s="24" t="str" cm="1">
        <f t="array" ref="U767">_xlfn.IFS(T767&lt;1,"underpaid",T767&gt;1,"overpaid",T767=1,"median pay")</f>
        <v>overpaid</v>
      </c>
      <c r="V767" s="5"/>
    </row>
    <row r="768" spans="1:22" x14ac:dyDescent="0.3">
      <c r="A768" s="21" t="s">
        <v>779</v>
      </c>
      <c r="B768" s="8" t="s">
        <v>1778</v>
      </c>
      <c r="C768" s="8" t="s">
        <v>2013</v>
      </c>
      <c r="D768" s="9">
        <v>45596</v>
      </c>
      <c r="E768" s="10">
        <f t="shared" si="110"/>
        <v>499992</v>
      </c>
      <c r="F768" s="8">
        <v>37279</v>
      </c>
      <c r="G768" s="8">
        <v>4387</v>
      </c>
      <c r="H768" s="11">
        <f t="shared" si="111"/>
        <v>18639.5</v>
      </c>
      <c r="I768" s="11">
        <f t="shared" si="112"/>
        <v>7455.8</v>
      </c>
      <c r="J768" s="11">
        <f t="shared" si="113"/>
        <v>11183.7</v>
      </c>
      <c r="K768" s="11">
        <f t="shared" si="114"/>
        <v>2236.7399999999998</v>
      </c>
      <c r="L768" s="8">
        <v>200</v>
      </c>
      <c r="M768" s="8">
        <f t="shared" si="115"/>
        <v>208</v>
      </c>
      <c r="N768" s="11">
        <v>2</v>
      </c>
      <c r="O768" s="11">
        <f t="shared" si="116"/>
        <v>89.612980769230774</v>
      </c>
      <c r="P768" s="11">
        <f t="shared" si="117"/>
        <v>179.22596153846155</v>
      </c>
      <c r="Q768" s="11">
        <f t="shared" si="118"/>
        <v>358.45192307692309</v>
      </c>
      <c r="R768" s="8">
        <v>39230</v>
      </c>
      <c r="S768" s="11">
        <f t="shared" si="119"/>
        <v>43617</v>
      </c>
      <c r="T768" s="20">
        <f>S768/median_percentile!$B$1</f>
        <v>0.86544242388166315</v>
      </c>
      <c r="U768" s="24" t="str" cm="1">
        <f t="array" ref="U768">_xlfn.IFS(T768&lt;1,"underpaid",T768&gt;1,"overpaid",T768=1,"median pay")</f>
        <v>underpaid</v>
      </c>
      <c r="V768" s="5"/>
    </row>
    <row r="769" spans="1:22" x14ac:dyDescent="0.3">
      <c r="A769" s="22" t="s">
        <v>780</v>
      </c>
      <c r="B769" s="12" t="s">
        <v>1779</v>
      </c>
      <c r="C769" s="12" t="s">
        <v>2012</v>
      </c>
      <c r="D769" s="13">
        <v>44155</v>
      </c>
      <c r="E769" s="14">
        <f t="shared" si="110"/>
        <v>463452</v>
      </c>
      <c r="F769" s="12">
        <v>33808</v>
      </c>
      <c r="G769" s="12">
        <v>4813</v>
      </c>
      <c r="H769" s="15">
        <f t="shared" si="111"/>
        <v>16904</v>
      </c>
      <c r="I769" s="15">
        <f t="shared" si="112"/>
        <v>6761.6</v>
      </c>
      <c r="J769" s="15">
        <f t="shared" si="113"/>
        <v>10142.400000000001</v>
      </c>
      <c r="K769" s="15">
        <f t="shared" si="114"/>
        <v>2028.48</v>
      </c>
      <c r="L769" s="12">
        <v>200</v>
      </c>
      <c r="M769" s="12">
        <f t="shared" si="115"/>
        <v>208</v>
      </c>
      <c r="N769" s="15">
        <v>2</v>
      </c>
      <c r="O769" s="15">
        <f t="shared" si="116"/>
        <v>81.269230769230774</v>
      </c>
      <c r="P769" s="15">
        <f t="shared" si="117"/>
        <v>162.53846153846155</v>
      </c>
      <c r="Q769" s="15">
        <f t="shared" si="118"/>
        <v>325.07692307692309</v>
      </c>
      <c r="R769" s="12">
        <v>36393</v>
      </c>
      <c r="S769" s="15">
        <f t="shared" si="119"/>
        <v>41206</v>
      </c>
      <c r="T769" s="20">
        <f>S769/median_percentile!$B$1</f>
        <v>0.81760369852277348</v>
      </c>
      <c r="U769" s="24" t="str" cm="1">
        <f t="array" ref="U769">_xlfn.IFS(T769&lt;1,"underpaid",T769&gt;1,"overpaid",T769=1,"median pay")</f>
        <v>underpaid</v>
      </c>
      <c r="V769" s="5"/>
    </row>
    <row r="770" spans="1:22" x14ac:dyDescent="0.3">
      <c r="A770" s="21" t="s">
        <v>781</v>
      </c>
      <c r="B770" s="8" t="s">
        <v>1780</v>
      </c>
      <c r="C770" s="8" t="s">
        <v>2014</v>
      </c>
      <c r="D770" s="9">
        <v>44439</v>
      </c>
      <c r="E770" s="10">
        <f t="shared" ref="E770:E833" si="120">(F770*12)+(G770*12)</f>
        <v>542952</v>
      </c>
      <c r="F770" s="8">
        <v>38723</v>
      </c>
      <c r="G770" s="8">
        <v>6523</v>
      </c>
      <c r="H770" s="11">
        <f t="shared" ref="H770:H833" si="121">F770*50%</f>
        <v>19361.5</v>
      </c>
      <c r="I770" s="11">
        <f t="shared" ref="I770:I833" si="122">H770*40%</f>
        <v>7744.6</v>
      </c>
      <c r="J770" s="11">
        <f t="shared" ref="J770:J833" si="123">F770-(H770+I770)</f>
        <v>11616.900000000001</v>
      </c>
      <c r="K770" s="11">
        <f t="shared" ref="K770:K833" si="124">H770*12%</f>
        <v>2323.38</v>
      </c>
      <c r="L770" s="8">
        <v>200</v>
      </c>
      <c r="M770" s="8">
        <f t="shared" si="115"/>
        <v>208</v>
      </c>
      <c r="N770" s="11">
        <v>2</v>
      </c>
      <c r="O770" s="11">
        <f t="shared" si="116"/>
        <v>93.084134615384613</v>
      </c>
      <c r="P770" s="11">
        <f t="shared" si="117"/>
        <v>186.16826923076923</v>
      </c>
      <c r="Q770" s="11">
        <f t="shared" si="118"/>
        <v>372.33653846153845</v>
      </c>
      <c r="R770" s="8">
        <v>43045</v>
      </c>
      <c r="S770" s="11">
        <f t="shared" si="119"/>
        <v>49568</v>
      </c>
      <c r="T770" s="20">
        <f>S770/median_percentile!$B$1</f>
        <v>0.98352133496036587</v>
      </c>
      <c r="U770" s="24" t="str" cm="1">
        <f t="array" ref="U770">_xlfn.IFS(T770&lt;1,"underpaid",T770&gt;1,"overpaid",T770=1,"median pay")</f>
        <v>underpaid</v>
      </c>
      <c r="V770" s="5"/>
    </row>
    <row r="771" spans="1:22" x14ac:dyDescent="0.3">
      <c r="A771" s="22" t="s">
        <v>782</v>
      </c>
      <c r="B771" s="12" t="s">
        <v>1781</v>
      </c>
      <c r="C771" s="12" t="s">
        <v>2016</v>
      </c>
      <c r="D771" s="13">
        <v>45720</v>
      </c>
      <c r="E771" s="14">
        <f t="shared" si="120"/>
        <v>467616</v>
      </c>
      <c r="F771" s="12">
        <v>34674</v>
      </c>
      <c r="G771" s="12">
        <v>4294</v>
      </c>
      <c r="H771" s="15">
        <f t="shared" si="121"/>
        <v>17337</v>
      </c>
      <c r="I771" s="15">
        <f t="shared" si="122"/>
        <v>6934.8</v>
      </c>
      <c r="J771" s="15">
        <f t="shared" si="123"/>
        <v>10402.200000000001</v>
      </c>
      <c r="K771" s="15">
        <f t="shared" si="124"/>
        <v>2080.44</v>
      </c>
      <c r="L771" s="12">
        <v>200</v>
      </c>
      <c r="M771" s="12">
        <f t="shared" ref="M771:M834" si="125">8*26</f>
        <v>208</v>
      </c>
      <c r="N771" s="15">
        <v>4</v>
      </c>
      <c r="O771" s="15">
        <f t="shared" ref="O771:O834" si="126">H771/M771</f>
        <v>83.350961538461533</v>
      </c>
      <c r="P771" s="15">
        <f t="shared" ref="P771:P834" si="127">O771*2</f>
        <v>166.70192307692307</v>
      </c>
      <c r="Q771" s="15">
        <f t="shared" ref="Q771:Q834" si="128">P771*N771</f>
        <v>666.80769230769226</v>
      </c>
      <c r="R771" s="12">
        <v>36976</v>
      </c>
      <c r="S771" s="15">
        <f t="shared" ref="S771:T834" si="129">R771+G771</f>
        <v>41270</v>
      </c>
      <c r="T771" s="20">
        <f>S771/median_percentile!$B$1</f>
        <v>0.81887357758663448</v>
      </c>
      <c r="U771" s="24" t="str" cm="1">
        <f t="array" ref="U771">_xlfn.IFS(T771&lt;1,"underpaid",T771&gt;1,"overpaid",T771=1,"median pay")</f>
        <v>underpaid</v>
      </c>
      <c r="V771" s="5"/>
    </row>
    <row r="772" spans="1:22" x14ac:dyDescent="0.3">
      <c r="A772" s="21" t="s">
        <v>783</v>
      </c>
      <c r="B772" s="8" t="s">
        <v>1782</v>
      </c>
      <c r="C772" s="8" t="s">
        <v>2014</v>
      </c>
      <c r="D772" s="9">
        <v>44115</v>
      </c>
      <c r="E772" s="10">
        <f t="shared" si="120"/>
        <v>780012</v>
      </c>
      <c r="F772" s="8">
        <v>58706</v>
      </c>
      <c r="G772" s="8">
        <v>6295</v>
      </c>
      <c r="H772" s="11">
        <f t="shared" si="121"/>
        <v>29353</v>
      </c>
      <c r="I772" s="11">
        <f t="shared" si="122"/>
        <v>11741.2</v>
      </c>
      <c r="J772" s="11">
        <f t="shared" si="123"/>
        <v>17611.800000000003</v>
      </c>
      <c r="K772" s="11">
        <f t="shared" si="124"/>
        <v>3522.3599999999997</v>
      </c>
      <c r="L772" s="8">
        <v>200</v>
      </c>
      <c r="M772" s="8">
        <f t="shared" si="125"/>
        <v>208</v>
      </c>
      <c r="N772" s="11">
        <v>1</v>
      </c>
      <c r="O772" s="11">
        <f t="shared" si="126"/>
        <v>141.12019230769232</v>
      </c>
      <c r="P772" s="11">
        <f t="shared" si="127"/>
        <v>282.24038461538464</v>
      </c>
      <c r="Q772" s="11">
        <f t="shared" si="128"/>
        <v>282.24038461538464</v>
      </c>
      <c r="R772" s="8">
        <v>61279</v>
      </c>
      <c r="S772" s="11">
        <f t="shared" si="129"/>
        <v>67574</v>
      </c>
      <c r="T772" s="20">
        <f>S772/median_percentile!$B$1</f>
        <v>1.3407938728335169</v>
      </c>
      <c r="U772" s="24" t="str" cm="1">
        <f t="array" ref="U772">_xlfn.IFS(T772&lt;1,"underpaid",T772&gt;1,"overpaid",T772=1,"median pay")</f>
        <v>overpaid</v>
      </c>
      <c r="V772" s="5"/>
    </row>
    <row r="773" spans="1:22" x14ac:dyDescent="0.3">
      <c r="A773" s="22" t="s">
        <v>784</v>
      </c>
      <c r="B773" s="12" t="s">
        <v>1783</v>
      </c>
      <c r="C773" s="12" t="s">
        <v>2014</v>
      </c>
      <c r="D773" s="13">
        <v>44961</v>
      </c>
      <c r="E773" s="14">
        <f t="shared" si="120"/>
        <v>944628</v>
      </c>
      <c r="F773" s="12">
        <v>67204</v>
      </c>
      <c r="G773" s="12">
        <v>11515</v>
      </c>
      <c r="H773" s="15">
        <f t="shared" si="121"/>
        <v>33602</v>
      </c>
      <c r="I773" s="15">
        <f t="shared" si="122"/>
        <v>13440.800000000001</v>
      </c>
      <c r="J773" s="15">
        <f t="shared" si="123"/>
        <v>20161.199999999997</v>
      </c>
      <c r="K773" s="15">
        <f t="shared" si="124"/>
        <v>4032.24</v>
      </c>
      <c r="L773" s="12">
        <v>200</v>
      </c>
      <c r="M773" s="12">
        <f t="shared" si="125"/>
        <v>208</v>
      </c>
      <c r="N773" s="15">
        <v>3</v>
      </c>
      <c r="O773" s="15">
        <f t="shared" si="126"/>
        <v>161.54807692307693</v>
      </c>
      <c r="P773" s="15">
        <f t="shared" si="127"/>
        <v>323.09615384615387</v>
      </c>
      <c r="Q773" s="15">
        <f t="shared" si="128"/>
        <v>969.28846153846166</v>
      </c>
      <c r="R773" s="12">
        <v>75047</v>
      </c>
      <c r="S773" s="15">
        <f t="shared" si="129"/>
        <v>86562</v>
      </c>
      <c r="T773" s="20">
        <f>S773/median_percentile!$B$1</f>
        <v>1.7175511175927856</v>
      </c>
      <c r="U773" s="24" t="str" cm="1">
        <f t="array" ref="U773">_xlfn.IFS(T773&lt;1,"underpaid",T773&gt;1,"overpaid",T773=1,"median pay")</f>
        <v>overpaid</v>
      </c>
      <c r="V773" s="5"/>
    </row>
    <row r="774" spans="1:22" x14ac:dyDescent="0.3">
      <c r="A774" s="21" t="s">
        <v>785</v>
      </c>
      <c r="B774" s="8" t="s">
        <v>1784</v>
      </c>
      <c r="C774" s="8" t="s">
        <v>2013</v>
      </c>
      <c r="D774" s="9">
        <v>43611</v>
      </c>
      <c r="E774" s="10">
        <f t="shared" si="120"/>
        <v>801696</v>
      </c>
      <c r="F774" s="8">
        <v>58487</v>
      </c>
      <c r="G774" s="8">
        <v>8321</v>
      </c>
      <c r="H774" s="11">
        <f t="shared" si="121"/>
        <v>29243.5</v>
      </c>
      <c r="I774" s="11">
        <f t="shared" si="122"/>
        <v>11697.400000000001</v>
      </c>
      <c r="J774" s="11">
        <f t="shared" si="123"/>
        <v>17546.099999999999</v>
      </c>
      <c r="K774" s="11">
        <f t="shared" si="124"/>
        <v>3509.22</v>
      </c>
      <c r="L774" s="8">
        <v>200</v>
      </c>
      <c r="M774" s="8">
        <f t="shared" si="125"/>
        <v>208</v>
      </c>
      <c r="N774" s="11">
        <v>5</v>
      </c>
      <c r="O774" s="11">
        <f t="shared" si="126"/>
        <v>140.59375</v>
      </c>
      <c r="P774" s="11">
        <f t="shared" si="127"/>
        <v>281.1875</v>
      </c>
      <c r="Q774" s="11">
        <f t="shared" si="128"/>
        <v>1405.9375</v>
      </c>
      <c r="R774" s="8">
        <v>64073</v>
      </c>
      <c r="S774" s="11">
        <f t="shared" si="129"/>
        <v>72394</v>
      </c>
      <c r="T774" s="20">
        <f>S774/median_percentile!$B$1</f>
        <v>1.4364316398305506</v>
      </c>
      <c r="U774" s="24" t="str" cm="1">
        <f t="array" ref="U774">_xlfn.IFS(T774&lt;1,"underpaid",T774&gt;1,"overpaid",T774=1,"median pay")</f>
        <v>overpaid</v>
      </c>
      <c r="V774" s="5"/>
    </row>
    <row r="775" spans="1:22" x14ac:dyDescent="0.3">
      <c r="A775" s="22" t="s">
        <v>786</v>
      </c>
      <c r="B775" s="12" t="s">
        <v>1785</v>
      </c>
      <c r="C775" s="12" t="s">
        <v>2014</v>
      </c>
      <c r="D775" s="13">
        <v>43501</v>
      </c>
      <c r="E775" s="14">
        <f t="shared" si="120"/>
        <v>842340</v>
      </c>
      <c r="F775" s="12">
        <v>58647</v>
      </c>
      <c r="G775" s="12">
        <v>11548</v>
      </c>
      <c r="H775" s="15">
        <f t="shared" si="121"/>
        <v>29323.5</v>
      </c>
      <c r="I775" s="15">
        <f t="shared" si="122"/>
        <v>11729.400000000001</v>
      </c>
      <c r="J775" s="15">
        <f t="shared" si="123"/>
        <v>17594.099999999999</v>
      </c>
      <c r="K775" s="15">
        <f t="shared" si="124"/>
        <v>3518.8199999999997</v>
      </c>
      <c r="L775" s="12">
        <v>200</v>
      </c>
      <c r="M775" s="12">
        <f t="shared" si="125"/>
        <v>208</v>
      </c>
      <c r="N775" s="15">
        <v>1</v>
      </c>
      <c r="O775" s="15">
        <f t="shared" si="126"/>
        <v>140.97836538461539</v>
      </c>
      <c r="P775" s="15">
        <f t="shared" si="127"/>
        <v>281.95673076923077</v>
      </c>
      <c r="Q775" s="15">
        <f t="shared" si="128"/>
        <v>281.95673076923077</v>
      </c>
      <c r="R775" s="12">
        <v>67454</v>
      </c>
      <c r="S775" s="15">
        <f t="shared" si="129"/>
        <v>79002</v>
      </c>
      <c r="T775" s="20">
        <f>S775/median_percentile!$B$1</f>
        <v>1.5675466531742017</v>
      </c>
      <c r="U775" s="24" t="str" cm="1">
        <f t="array" ref="U775">_xlfn.IFS(T775&lt;1,"underpaid",T775&gt;1,"overpaid",T775=1,"median pay")</f>
        <v>overpaid</v>
      </c>
      <c r="V775" s="5"/>
    </row>
    <row r="776" spans="1:22" x14ac:dyDescent="0.3">
      <c r="A776" s="21" t="s">
        <v>787</v>
      </c>
      <c r="B776" s="8" t="s">
        <v>1786</v>
      </c>
      <c r="C776" s="8" t="s">
        <v>2015</v>
      </c>
      <c r="D776" s="9">
        <v>43869</v>
      </c>
      <c r="E776" s="10">
        <f t="shared" si="120"/>
        <v>397848</v>
      </c>
      <c r="F776" s="8">
        <v>28207</v>
      </c>
      <c r="G776" s="8">
        <v>4947</v>
      </c>
      <c r="H776" s="11">
        <f t="shared" si="121"/>
        <v>14103.5</v>
      </c>
      <c r="I776" s="11">
        <f t="shared" si="122"/>
        <v>5641.4000000000005</v>
      </c>
      <c r="J776" s="11">
        <f t="shared" si="123"/>
        <v>8462.0999999999985</v>
      </c>
      <c r="K776" s="11">
        <f t="shared" si="124"/>
        <v>1692.4199999999998</v>
      </c>
      <c r="L776" s="8">
        <v>200</v>
      </c>
      <c r="M776" s="8">
        <f t="shared" si="125"/>
        <v>208</v>
      </c>
      <c r="N776" s="11">
        <v>4</v>
      </c>
      <c r="O776" s="11">
        <f t="shared" si="126"/>
        <v>67.805288461538467</v>
      </c>
      <c r="P776" s="11">
        <f t="shared" si="127"/>
        <v>135.61057692307693</v>
      </c>
      <c r="Q776" s="11">
        <f t="shared" si="128"/>
        <v>542.44230769230774</v>
      </c>
      <c r="R776" s="8">
        <v>31262</v>
      </c>
      <c r="S776" s="11">
        <f t="shared" si="129"/>
        <v>36209</v>
      </c>
      <c r="T776" s="20">
        <f>S776/median_percentile!$B$1</f>
        <v>0.71845392223974924</v>
      </c>
      <c r="U776" s="24" t="str" cm="1">
        <f t="array" ref="U776">_xlfn.IFS(T776&lt;1,"underpaid",T776&gt;1,"overpaid",T776=1,"median pay")</f>
        <v>underpaid</v>
      </c>
      <c r="V776" s="5"/>
    </row>
    <row r="777" spans="1:22" x14ac:dyDescent="0.3">
      <c r="A777" s="22" t="s">
        <v>788</v>
      </c>
      <c r="B777" s="12" t="s">
        <v>1787</v>
      </c>
      <c r="C777" s="12" t="s">
        <v>2013</v>
      </c>
      <c r="D777" s="13">
        <v>44557</v>
      </c>
      <c r="E777" s="14">
        <f t="shared" si="120"/>
        <v>878988</v>
      </c>
      <c r="F777" s="12">
        <v>62810</v>
      </c>
      <c r="G777" s="12">
        <v>10439</v>
      </c>
      <c r="H777" s="15">
        <f t="shared" si="121"/>
        <v>31405</v>
      </c>
      <c r="I777" s="15">
        <f t="shared" si="122"/>
        <v>12562</v>
      </c>
      <c r="J777" s="15">
        <f t="shared" si="123"/>
        <v>18843</v>
      </c>
      <c r="K777" s="15">
        <f t="shared" si="124"/>
        <v>3768.6</v>
      </c>
      <c r="L777" s="12">
        <v>200</v>
      </c>
      <c r="M777" s="12">
        <f t="shared" si="125"/>
        <v>208</v>
      </c>
      <c r="N777" s="15">
        <v>1</v>
      </c>
      <c r="O777" s="15">
        <f t="shared" si="126"/>
        <v>150.98557692307693</v>
      </c>
      <c r="P777" s="15">
        <f t="shared" si="127"/>
        <v>301.97115384615387</v>
      </c>
      <c r="Q777" s="15">
        <f t="shared" si="128"/>
        <v>301.97115384615387</v>
      </c>
      <c r="R777" s="12">
        <v>69281</v>
      </c>
      <c r="S777" s="15">
        <f t="shared" si="129"/>
        <v>79720</v>
      </c>
      <c r="T777" s="20">
        <f>S777/median_percentile!$B$1</f>
        <v>1.5817931089218926</v>
      </c>
      <c r="U777" s="24" t="str" cm="1">
        <f t="array" ref="U777">_xlfn.IFS(T777&lt;1,"underpaid",T777&gt;1,"overpaid",T777=1,"median pay")</f>
        <v>overpaid</v>
      </c>
      <c r="V777" s="5"/>
    </row>
    <row r="778" spans="1:22" x14ac:dyDescent="0.3">
      <c r="A778" s="21" t="s">
        <v>789</v>
      </c>
      <c r="B778" s="8" t="s">
        <v>1788</v>
      </c>
      <c r="C778" s="8" t="s">
        <v>2013</v>
      </c>
      <c r="D778" s="9">
        <v>45298</v>
      </c>
      <c r="E778" s="10">
        <f t="shared" si="120"/>
        <v>740064</v>
      </c>
      <c r="F778" s="8">
        <v>51725</v>
      </c>
      <c r="G778" s="8">
        <v>9947</v>
      </c>
      <c r="H778" s="11">
        <f t="shared" si="121"/>
        <v>25862.5</v>
      </c>
      <c r="I778" s="11">
        <f t="shared" si="122"/>
        <v>10345</v>
      </c>
      <c r="J778" s="11">
        <f t="shared" si="123"/>
        <v>15517.5</v>
      </c>
      <c r="K778" s="11">
        <f t="shared" si="124"/>
        <v>3103.5</v>
      </c>
      <c r="L778" s="8">
        <v>200</v>
      </c>
      <c r="M778" s="8">
        <f t="shared" si="125"/>
        <v>208</v>
      </c>
      <c r="N778" s="11">
        <v>4</v>
      </c>
      <c r="O778" s="11">
        <f t="shared" si="126"/>
        <v>124.33894230769231</v>
      </c>
      <c r="P778" s="11">
        <f t="shared" si="127"/>
        <v>248.67788461538461</v>
      </c>
      <c r="Q778" s="11">
        <f t="shared" si="128"/>
        <v>994.71153846153845</v>
      </c>
      <c r="R778" s="8">
        <v>58800</v>
      </c>
      <c r="S778" s="11">
        <f t="shared" si="129"/>
        <v>68747</v>
      </c>
      <c r="T778" s="20">
        <f>S778/median_percentile!$B$1</f>
        <v>1.3640683750508447</v>
      </c>
      <c r="U778" s="24" t="str" cm="1">
        <f t="array" ref="U778">_xlfn.IFS(T778&lt;1,"underpaid",T778&gt;1,"overpaid",T778=1,"median pay")</f>
        <v>overpaid</v>
      </c>
      <c r="V778" s="5"/>
    </row>
    <row r="779" spans="1:22" x14ac:dyDescent="0.3">
      <c r="A779" s="22" t="s">
        <v>790</v>
      </c>
      <c r="B779" s="12" t="s">
        <v>1789</v>
      </c>
      <c r="C779" s="12" t="s">
        <v>2012</v>
      </c>
      <c r="D779" s="13">
        <v>45657</v>
      </c>
      <c r="E779" s="14">
        <f t="shared" si="120"/>
        <v>661080</v>
      </c>
      <c r="F779" s="12">
        <v>48689</v>
      </c>
      <c r="G779" s="12">
        <v>6401</v>
      </c>
      <c r="H779" s="15">
        <f t="shared" si="121"/>
        <v>24344.5</v>
      </c>
      <c r="I779" s="15">
        <f t="shared" si="122"/>
        <v>9737.8000000000011</v>
      </c>
      <c r="J779" s="15">
        <f t="shared" si="123"/>
        <v>14606.699999999997</v>
      </c>
      <c r="K779" s="15">
        <f t="shared" si="124"/>
        <v>2921.3399999999997</v>
      </c>
      <c r="L779" s="12">
        <v>200</v>
      </c>
      <c r="M779" s="12">
        <f t="shared" si="125"/>
        <v>208</v>
      </c>
      <c r="N779" s="15">
        <v>4</v>
      </c>
      <c r="O779" s="15">
        <f t="shared" si="126"/>
        <v>117.04086538461539</v>
      </c>
      <c r="P779" s="15">
        <f t="shared" si="127"/>
        <v>234.08173076923077</v>
      </c>
      <c r="Q779" s="15">
        <f t="shared" si="128"/>
        <v>936.32692307692309</v>
      </c>
      <c r="R779" s="12">
        <v>52780</v>
      </c>
      <c r="S779" s="15">
        <f t="shared" si="129"/>
        <v>59181</v>
      </c>
      <c r="T779" s="20">
        <f>S779/median_percentile!$B$1</f>
        <v>1.1742611387243669</v>
      </c>
      <c r="U779" s="24" t="str" cm="1">
        <f t="array" ref="U779">_xlfn.IFS(T779&lt;1,"underpaid",T779&gt;1,"overpaid",T779=1,"median pay")</f>
        <v>overpaid</v>
      </c>
      <c r="V779" s="5"/>
    </row>
    <row r="780" spans="1:22" x14ac:dyDescent="0.3">
      <c r="A780" s="21" t="s">
        <v>791</v>
      </c>
      <c r="B780" s="8" t="s">
        <v>1790</v>
      </c>
      <c r="C780" s="8" t="s">
        <v>2013</v>
      </c>
      <c r="D780" s="9">
        <v>45404</v>
      </c>
      <c r="E780" s="10">
        <f t="shared" si="120"/>
        <v>531216</v>
      </c>
      <c r="F780" s="8">
        <v>36922</v>
      </c>
      <c r="G780" s="8">
        <v>7346</v>
      </c>
      <c r="H780" s="11">
        <f t="shared" si="121"/>
        <v>18461</v>
      </c>
      <c r="I780" s="11">
        <f t="shared" si="122"/>
        <v>7384.4000000000005</v>
      </c>
      <c r="J780" s="11">
        <f t="shared" si="123"/>
        <v>11076.599999999999</v>
      </c>
      <c r="K780" s="11">
        <f t="shared" si="124"/>
        <v>2215.3199999999997</v>
      </c>
      <c r="L780" s="8">
        <v>200</v>
      </c>
      <c r="M780" s="8">
        <f t="shared" si="125"/>
        <v>208</v>
      </c>
      <c r="N780" s="11">
        <v>5</v>
      </c>
      <c r="O780" s="11">
        <f t="shared" si="126"/>
        <v>88.754807692307693</v>
      </c>
      <c r="P780" s="11">
        <f t="shared" si="127"/>
        <v>177.50961538461539</v>
      </c>
      <c r="Q780" s="11">
        <f t="shared" si="128"/>
        <v>887.54807692307691</v>
      </c>
      <c r="R780" s="8">
        <v>42468</v>
      </c>
      <c r="S780" s="11">
        <f t="shared" si="129"/>
        <v>49814</v>
      </c>
      <c r="T780" s="20">
        <f>S780/median_percentile!$B$1</f>
        <v>0.98840243261208172</v>
      </c>
      <c r="U780" s="24" t="str" cm="1">
        <f t="array" ref="U780">_xlfn.IFS(T780&lt;1,"underpaid",T780&gt;1,"overpaid",T780=1,"median pay")</f>
        <v>underpaid</v>
      </c>
      <c r="V780" s="5"/>
    </row>
    <row r="781" spans="1:22" x14ac:dyDescent="0.3">
      <c r="A781" s="22" t="s">
        <v>792</v>
      </c>
      <c r="B781" s="12" t="s">
        <v>1791</v>
      </c>
      <c r="C781" s="12" t="s">
        <v>2015</v>
      </c>
      <c r="D781" s="13">
        <v>44521</v>
      </c>
      <c r="E781" s="14">
        <f t="shared" si="120"/>
        <v>720504</v>
      </c>
      <c r="F781" s="12">
        <v>52801</v>
      </c>
      <c r="G781" s="12">
        <v>7241</v>
      </c>
      <c r="H781" s="15">
        <f t="shared" si="121"/>
        <v>26400.5</v>
      </c>
      <c r="I781" s="15">
        <f t="shared" si="122"/>
        <v>10560.2</v>
      </c>
      <c r="J781" s="15">
        <f t="shared" si="123"/>
        <v>15840.300000000003</v>
      </c>
      <c r="K781" s="15">
        <f t="shared" si="124"/>
        <v>3168.06</v>
      </c>
      <c r="L781" s="12">
        <v>200</v>
      </c>
      <c r="M781" s="12">
        <f t="shared" si="125"/>
        <v>208</v>
      </c>
      <c r="N781" s="15">
        <v>0</v>
      </c>
      <c r="O781" s="15">
        <f t="shared" si="126"/>
        <v>126.92548076923077</v>
      </c>
      <c r="P781" s="15">
        <f t="shared" si="127"/>
        <v>253.85096153846155</v>
      </c>
      <c r="Q781" s="15">
        <f t="shared" si="128"/>
        <v>0</v>
      </c>
      <c r="R781" s="12">
        <v>56674</v>
      </c>
      <c r="S781" s="15">
        <f t="shared" si="129"/>
        <v>63915</v>
      </c>
      <c r="T781" s="20">
        <f>S781/median_percentile!$B$1</f>
        <v>1.2681925057293373</v>
      </c>
      <c r="U781" s="24" t="str" cm="1">
        <f t="array" ref="U781">_xlfn.IFS(T781&lt;1,"underpaid",T781&gt;1,"overpaid",T781=1,"median pay")</f>
        <v>overpaid</v>
      </c>
      <c r="V781" s="5"/>
    </row>
    <row r="782" spans="1:22" x14ac:dyDescent="0.3">
      <c r="A782" s="21" t="s">
        <v>793</v>
      </c>
      <c r="B782" s="8" t="s">
        <v>1792</v>
      </c>
      <c r="C782" s="8" t="s">
        <v>2014</v>
      </c>
      <c r="D782" s="9">
        <v>45974</v>
      </c>
      <c r="E782" s="10">
        <f t="shared" si="120"/>
        <v>578208</v>
      </c>
      <c r="F782" s="8">
        <v>40633</v>
      </c>
      <c r="G782" s="8">
        <v>7551</v>
      </c>
      <c r="H782" s="11">
        <f t="shared" si="121"/>
        <v>20316.5</v>
      </c>
      <c r="I782" s="11">
        <f t="shared" si="122"/>
        <v>8126.6</v>
      </c>
      <c r="J782" s="11">
        <f t="shared" si="123"/>
        <v>12189.900000000001</v>
      </c>
      <c r="K782" s="11">
        <f t="shared" si="124"/>
        <v>2437.98</v>
      </c>
      <c r="L782" s="8">
        <v>200</v>
      </c>
      <c r="M782" s="8">
        <f t="shared" si="125"/>
        <v>208</v>
      </c>
      <c r="N782" s="11">
        <v>0</v>
      </c>
      <c r="O782" s="11">
        <f t="shared" si="126"/>
        <v>97.675480769230774</v>
      </c>
      <c r="P782" s="11">
        <f t="shared" si="127"/>
        <v>195.35096153846155</v>
      </c>
      <c r="Q782" s="11">
        <f t="shared" si="128"/>
        <v>0</v>
      </c>
      <c r="R782" s="8">
        <v>46224</v>
      </c>
      <c r="S782" s="11">
        <f t="shared" si="129"/>
        <v>53775</v>
      </c>
      <c r="T782" s="20">
        <f>S782/median_percentile!$B$1</f>
        <v>1.0669960415488555</v>
      </c>
      <c r="U782" s="24" t="str" cm="1">
        <f t="array" ref="U782">_xlfn.IFS(T782&lt;1,"underpaid",T782&gt;1,"overpaid",T782=1,"median pay")</f>
        <v>overpaid</v>
      </c>
      <c r="V782" s="5"/>
    </row>
    <row r="783" spans="1:22" x14ac:dyDescent="0.3">
      <c r="A783" s="22" t="s">
        <v>794</v>
      </c>
      <c r="B783" s="12" t="s">
        <v>1793</v>
      </c>
      <c r="C783" s="12" t="s">
        <v>2014</v>
      </c>
      <c r="D783" s="13">
        <v>45603</v>
      </c>
      <c r="E783" s="14">
        <f t="shared" si="120"/>
        <v>897588</v>
      </c>
      <c r="F783" s="12">
        <v>64305</v>
      </c>
      <c r="G783" s="12">
        <v>10494</v>
      </c>
      <c r="H783" s="15">
        <f t="shared" si="121"/>
        <v>32152.5</v>
      </c>
      <c r="I783" s="15">
        <f t="shared" si="122"/>
        <v>12861</v>
      </c>
      <c r="J783" s="15">
        <f t="shared" si="123"/>
        <v>19291.5</v>
      </c>
      <c r="K783" s="15">
        <f t="shared" si="124"/>
        <v>3858.2999999999997</v>
      </c>
      <c r="L783" s="12">
        <v>200</v>
      </c>
      <c r="M783" s="12">
        <f t="shared" si="125"/>
        <v>208</v>
      </c>
      <c r="N783" s="15">
        <v>5</v>
      </c>
      <c r="O783" s="15">
        <f t="shared" si="126"/>
        <v>154.57932692307693</v>
      </c>
      <c r="P783" s="15">
        <f t="shared" si="127"/>
        <v>309.15865384615387</v>
      </c>
      <c r="Q783" s="15">
        <f t="shared" si="128"/>
        <v>1545.7932692307693</v>
      </c>
      <c r="R783" s="12">
        <v>70741</v>
      </c>
      <c r="S783" s="15">
        <f t="shared" si="129"/>
        <v>81235</v>
      </c>
      <c r="T783" s="20">
        <f>S783/median_percentile!$B$1</f>
        <v>1.6118535273867278</v>
      </c>
      <c r="U783" s="24" t="str" cm="1">
        <f t="array" ref="U783">_xlfn.IFS(T783&lt;1,"underpaid",T783&gt;1,"overpaid",T783=1,"median pay")</f>
        <v>overpaid</v>
      </c>
      <c r="V783" s="5"/>
    </row>
    <row r="784" spans="1:22" x14ac:dyDescent="0.3">
      <c r="A784" s="21" t="s">
        <v>795</v>
      </c>
      <c r="B784" s="8" t="s">
        <v>1794</v>
      </c>
      <c r="C784" s="8" t="s">
        <v>2011</v>
      </c>
      <c r="D784" s="9">
        <v>44450</v>
      </c>
      <c r="E784" s="10">
        <f t="shared" si="120"/>
        <v>440952</v>
      </c>
      <c r="F784" s="8">
        <v>32877</v>
      </c>
      <c r="G784" s="8">
        <v>3869</v>
      </c>
      <c r="H784" s="11">
        <f t="shared" si="121"/>
        <v>16438.5</v>
      </c>
      <c r="I784" s="11">
        <f t="shared" si="122"/>
        <v>6575.4000000000005</v>
      </c>
      <c r="J784" s="11">
        <f t="shared" si="123"/>
        <v>9863.0999999999985</v>
      </c>
      <c r="K784" s="11">
        <f t="shared" si="124"/>
        <v>1972.62</v>
      </c>
      <c r="L784" s="8">
        <v>200</v>
      </c>
      <c r="M784" s="8">
        <f t="shared" si="125"/>
        <v>208</v>
      </c>
      <c r="N784" s="11">
        <v>4</v>
      </c>
      <c r="O784" s="11">
        <f t="shared" si="126"/>
        <v>79.03125</v>
      </c>
      <c r="P784" s="11">
        <f t="shared" si="127"/>
        <v>158.0625</v>
      </c>
      <c r="Q784" s="11">
        <f t="shared" si="128"/>
        <v>632.25</v>
      </c>
      <c r="R784" s="8">
        <v>34847</v>
      </c>
      <c r="S784" s="11">
        <f t="shared" si="129"/>
        <v>38716</v>
      </c>
      <c r="T784" s="20">
        <f>S784/median_percentile!$B$1</f>
        <v>0.76819746619443041</v>
      </c>
      <c r="U784" s="24" t="str" cm="1">
        <f t="array" ref="U784">_xlfn.IFS(T784&lt;1,"underpaid",T784&gt;1,"overpaid",T784=1,"median pay")</f>
        <v>underpaid</v>
      </c>
      <c r="V784" s="5"/>
    </row>
    <row r="785" spans="1:22" x14ac:dyDescent="0.3">
      <c r="A785" s="22" t="s">
        <v>796</v>
      </c>
      <c r="B785" s="12" t="s">
        <v>1795</v>
      </c>
      <c r="C785" s="12" t="s">
        <v>2015</v>
      </c>
      <c r="D785" s="13">
        <v>45207</v>
      </c>
      <c r="E785" s="14">
        <f t="shared" si="120"/>
        <v>709848</v>
      </c>
      <c r="F785" s="12">
        <v>52955</v>
      </c>
      <c r="G785" s="12">
        <v>6199</v>
      </c>
      <c r="H785" s="15">
        <f t="shared" si="121"/>
        <v>26477.5</v>
      </c>
      <c r="I785" s="15">
        <f t="shared" si="122"/>
        <v>10591</v>
      </c>
      <c r="J785" s="15">
        <f t="shared" si="123"/>
        <v>15886.5</v>
      </c>
      <c r="K785" s="15">
        <f t="shared" si="124"/>
        <v>3177.2999999999997</v>
      </c>
      <c r="L785" s="12">
        <v>200</v>
      </c>
      <c r="M785" s="12">
        <f t="shared" si="125"/>
        <v>208</v>
      </c>
      <c r="N785" s="15">
        <v>3</v>
      </c>
      <c r="O785" s="15">
        <f t="shared" si="126"/>
        <v>127.29567307692308</v>
      </c>
      <c r="P785" s="15">
        <f t="shared" si="127"/>
        <v>254.59134615384616</v>
      </c>
      <c r="Q785" s="15">
        <f t="shared" si="128"/>
        <v>763.77403846153845</v>
      </c>
      <c r="R785" s="12">
        <v>56218</v>
      </c>
      <c r="S785" s="15">
        <f t="shared" si="129"/>
        <v>62417</v>
      </c>
      <c r="T785" s="20">
        <f>S785/median_percentile!$B$1</f>
        <v>1.23846939889084</v>
      </c>
      <c r="U785" s="24" t="str" cm="1">
        <f t="array" ref="U785">_xlfn.IFS(T785&lt;1,"underpaid",T785&gt;1,"overpaid",T785=1,"median pay")</f>
        <v>overpaid</v>
      </c>
      <c r="V785" s="5"/>
    </row>
    <row r="786" spans="1:22" x14ac:dyDescent="0.3">
      <c r="A786" s="21" t="s">
        <v>797</v>
      </c>
      <c r="B786" s="8" t="s">
        <v>1796</v>
      </c>
      <c r="C786" s="8" t="s">
        <v>2011</v>
      </c>
      <c r="D786" s="9">
        <v>45694</v>
      </c>
      <c r="E786" s="10">
        <f t="shared" si="120"/>
        <v>510180</v>
      </c>
      <c r="F786" s="8">
        <v>36451</v>
      </c>
      <c r="G786" s="8">
        <v>6064</v>
      </c>
      <c r="H786" s="11">
        <f t="shared" si="121"/>
        <v>18225.5</v>
      </c>
      <c r="I786" s="11">
        <f t="shared" si="122"/>
        <v>7290.2000000000007</v>
      </c>
      <c r="J786" s="11">
        <f t="shared" si="123"/>
        <v>10935.3</v>
      </c>
      <c r="K786" s="11">
        <f t="shared" si="124"/>
        <v>2187.06</v>
      </c>
      <c r="L786" s="8">
        <v>200</v>
      </c>
      <c r="M786" s="8">
        <f t="shared" si="125"/>
        <v>208</v>
      </c>
      <c r="N786" s="11">
        <v>4</v>
      </c>
      <c r="O786" s="11">
        <f t="shared" si="126"/>
        <v>87.62259615384616</v>
      </c>
      <c r="P786" s="11">
        <f t="shared" si="127"/>
        <v>175.24519230769232</v>
      </c>
      <c r="Q786" s="11">
        <f t="shared" si="128"/>
        <v>700.98076923076928</v>
      </c>
      <c r="R786" s="8">
        <v>40128</v>
      </c>
      <c r="S786" s="11">
        <f t="shared" si="129"/>
        <v>46192</v>
      </c>
      <c r="T786" s="20">
        <f>S786/median_percentile!$B$1</f>
        <v>0.91653521434169671</v>
      </c>
      <c r="U786" s="24" t="str" cm="1">
        <f t="array" ref="U786">_xlfn.IFS(T786&lt;1,"underpaid",T786&gt;1,"overpaid",T786=1,"median pay")</f>
        <v>underpaid</v>
      </c>
      <c r="V786" s="5"/>
    </row>
    <row r="787" spans="1:22" x14ac:dyDescent="0.3">
      <c r="A787" s="22" t="s">
        <v>798</v>
      </c>
      <c r="B787" s="12" t="s">
        <v>1797</v>
      </c>
      <c r="C787" s="12" t="s">
        <v>2015</v>
      </c>
      <c r="D787" s="13">
        <v>44718</v>
      </c>
      <c r="E787" s="14">
        <f t="shared" si="120"/>
        <v>581436</v>
      </c>
      <c r="F787" s="12">
        <v>44012</v>
      </c>
      <c r="G787" s="12">
        <v>4441</v>
      </c>
      <c r="H787" s="15">
        <f t="shared" si="121"/>
        <v>22006</v>
      </c>
      <c r="I787" s="15">
        <f t="shared" si="122"/>
        <v>8802.4</v>
      </c>
      <c r="J787" s="15">
        <f t="shared" si="123"/>
        <v>13203.599999999999</v>
      </c>
      <c r="K787" s="15">
        <f t="shared" si="124"/>
        <v>2640.72</v>
      </c>
      <c r="L787" s="12">
        <v>200</v>
      </c>
      <c r="M787" s="12">
        <f t="shared" si="125"/>
        <v>208</v>
      </c>
      <c r="N787" s="15">
        <v>2</v>
      </c>
      <c r="O787" s="15">
        <f t="shared" si="126"/>
        <v>105.79807692307692</v>
      </c>
      <c r="P787" s="15">
        <f t="shared" si="127"/>
        <v>211.59615384615384</v>
      </c>
      <c r="Q787" s="15">
        <f t="shared" si="128"/>
        <v>423.19230769230768</v>
      </c>
      <c r="R787" s="12">
        <v>45979</v>
      </c>
      <c r="S787" s="15">
        <f t="shared" si="129"/>
        <v>50420</v>
      </c>
      <c r="T787" s="20">
        <f>S787/median_percentile!$B$1</f>
        <v>1.0004265999980158</v>
      </c>
      <c r="U787" s="24" t="str" cm="1">
        <f t="array" ref="U787">_xlfn.IFS(T787&lt;1,"underpaid",T787&gt;1,"overpaid",T787=1,"median pay")</f>
        <v>overpaid</v>
      </c>
      <c r="V787" s="5"/>
    </row>
    <row r="788" spans="1:22" x14ac:dyDescent="0.3">
      <c r="A788" s="21" t="s">
        <v>799</v>
      </c>
      <c r="B788" s="8" t="s">
        <v>1798</v>
      </c>
      <c r="C788" s="8" t="s">
        <v>2016</v>
      </c>
      <c r="D788" s="9">
        <v>45368</v>
      </c>
      <c r="E788" s="10">
        <f t="shared" si="120"/>
        <v>504384</v>
      </c>
      <c r="F788" s="8">
        <v>35795</v>
      </c>
      <c r="G788" s="8">
        <v>6237</v>
      </c>
      <c r="H788" s="11">
        <f t="shared" si="121"/>
        <v>17897.5</v>
      </c>
      <c r="I788" s="11">
        <f t="shared" si="122"/>
        <v>7159</v>
      </c>
      <c r="J788" s="11">
        <f t="shared" si="123"/>
        <v>10738.5</v>
      </c>
      <c r="K788" s="11">
        <f t="shared" si="124"/>
        <v>2147.6999999999998</v>
      </c>
      <c r="L788" s="8">
        <v>200</v>
      </c>
      <c r="M788" s="8">
        <f t="shared" si="125"/>
        <v>208</v>
      </c>
      <c r="N788" s="11">
        <v>1</v>
      </c>
      <c r="O788" s="11">
        <f t="shared" si="126"/>
        <v>86.04567307692308</v>
      </c>
      <c r="P788" s="11">
        <f t="shared" si="127"/>
        <v>172.09134615384616</v>
      </c>
      <c r="Q788" s="11">
        <f t="shared" si="128"/>
        <v>172.09134615384616</v>
      </c>
      <c r="R788" s="8">
        <v>39685</v>
      </c>
      <c r="S788" s="11">
        <f t="shared" si="129"/>
        <v>45922</v>
      </c>
      <c r="T788" s="20">
        <f>S788/median_percentile!$B$1</f>
        <v>0.91117791204103293</v>
      </c>
      <c r="U788" s="24" t="str" cm="1">
        <f t="array" ref="U788">_xlfn.IFS(T788&lt;1,"underpaid",T788&gt;1,"overpaid",T788=1,"median pay")</f>
        <v>underpaid</v>
      </c>
      <c r="V788" s="5"/>
    </row>
    <row r="789" spans="1:22" x14ac:dyDescent="0.3">
      <c r="A789" s="22" t="s">
        <v>800</v>
      </c>
      <c r="B789" s="12" t="s">
        <v>1799</v>
      </c>
      <c r="C789" s="12" t="s">
        <v>2012</v>
      </c>
      <c r="D789" s="13">
        <v>44551</v>
      </c>
      <c r="E789" s="14">
        <f t="shared" si="120"/>
        <v>429588</v>
      </c>
      <c r="F789" s="12">
        <v>30308</v>
      </c>
      <c r="G789" s="12">
        <v>5491</v>
      </c>
      <c r="H789" s="15">
        <f t="shared" si="121"/>
        <v>15154</v>
      </c>
      <c r="I789" s="15">
        <f t="shared" si="122"/>
        <v>6061.6</v>
      </c>
      <c r="J789" s="15">
        <f t="shared" si="123"/>
        <v>9092.4000000000015</v>
      </c>
      <c r="K789" s="15">
        <f t="shared" si="124"/>
        <v>1818.48</v>
      </c>
      <c r="L789" s="12">
        <v>200</v>
      </c>
      <c r="M789" s="12">
        <f t="shared" si="125"/>
        <v>208</v>
      </c>
      <c r="N789" s="15">
        <v>0</v>
      </c>
      <c r="O789" s="15">
        <f t="shared" si="126"/>
        <v>72.855769230769226</v>
      </c>
      <c r="P789" s="15">
        <f t="shared" si="127"/>
        <v>145.71153846153845</v>
      </c>
      <c r="Q789" s="15">
        <f t="shared" si="128"/>
        <v>0</v>
      </c>
      <c r="R789" s="12">
        <v>34286</v>
      </c>
      <c r="S789" s="15">
        <f t="shared" si="129"/>
        <v>39777</v>
      </c>
      <c r="T789" s="20">
        <f>S789/median_percentile!$B$1</f>
        <v>0.78924968005000151</v>
      </c>
      <c r="U789" s="24" t="str" cm="1">
        <f t="array" ref="U789">_xlfn.IFS(T789&lt;1,"underpaid",T789&gt;1,"overpaid",T789=1,"median pay")</f>
        <v>underpaid</v>
      </c>
      <c r="V789" s="5"/>
    </row>
    <row r="790" spans="1:22" x14ac:dyDescent="0.3">
      <c r="A790" s="21" t="s">
        <v>801</v>
      </c>
      <c r="B790" s="8" t="s">
        <v>1800</v>
      </c>
      <c r="C790" s="8" t="s">
        <v>2013</v>
      </c>
      <c r="D790" s="9">
        <v>44038</v>
      </c>
      <c r="E790" s="10">
        <f t="shared" si="120"/>
        <v>459036</v>
      </c>
      <c r="F790" s="8">
        <v>34323</v>
      </c>
      <c r="G790" s="8">
        <v>3930</v>
      </c>
      <c r="H790" s="11">
        <f t="shared" si="121"/>
        <v>17161.5</v>
      </c>
      <c r="I790" s="11">
        <f t="shared" si="122"/>
        <v>6864.6</v>
      </c>
      <c r="J790" s="11">
        <f t="shared" si="123"/>
        <v>10296.900000000001</v>
      </c>
      <c r="K790" s="11">
        <f t="shared" si="124"/>
        <v>2059.38</v>
      </c>
      <c r="L790" s="8">
        <v>200</v>
      </c>
      <c r="M790" s="8">
        <f t="shared" si="125"/>
        <v>208</v>
      </c>
      <c r="N790" s="11">
        <v>1</v>
      </c>
      <c r="O790" s="11">
        <f t="shared" si="126"/>
        <v>82.507211538461533</v>
      </c>
      <c r="P790" s="11">
        <f t="shared" si="127"/>
        <v>165.01442307692307</v>
      </c>
      <c r="Q790" s="11">
        <f t="shared" si="128"/>
        <v>165.01442307692307</v>
      </c>
      <c r="R790" s="8">
        <v>36566</v>
      </c>
      <c r="S790" s="11">
        <f t="shared" si="129"/>
        <v>40496</v>
      </c>
      <c r="T790" s="20">
        <f>S790/median_percentile!$B$1</f>
        <v>0.80351597765806526</v>
      </c>
      <c r="U790" s="24" t="str" cm="1">
        <f t="array" ref="U790">_xlfn.IFS(T790&lt;1,"underpaid",T790&gt;1,"overpaid",T790=1,"median pay")</f>
        <v>underpaid</v>
      </c>
      <c r="V790" s="5"/>
    </row>
    <row r="791" spans="1:22" x14ac:dyDescent="0.3">
      <c r="A791" s="22" t="s">
        <v>802</v>
      </c>
      <c r="B791" s="12" t="s">
        <v>1801</v>
      </c>
      <c r="C791" s="12" t="s">
        <v>2014</v>
      </c>
      <c r="D791" s="13">
        <v>43712</v>
      </c>
      <c r="E791" s="14">
        <f t="shared" si="120"/>
        <v>1005360</v>
      </c>
      <c r="F791" s="12">
        <v>72646</v>
      </c>
      <c r="G791" s="12">
        <v>11134</v>
      </c>
      <c r="H791" s="15">
        <f t="shared" si="121"/>
        <v>36323</v>
      </c>
      <c r="I791" s="15">
        <f t="shared" si="122"/>
        <v>14529.2</v>
      </c>
      <c r="J791" s="15">
        <f t="shared" si="123"/>
        <v>21793.800000000003</v>
      </c>
      <c r="K791" s="15">
        <f t="shared" si="124"/>
        <v>4358.76</v>
      </c>
      <c r="L791" s="12">
        <v>200</v>
      </c>
      <c r="M791" s="12">
        <f t="shared" si="125"/>
        <v>208</v>
      </c>
      <c r="N791" s="15">
        <v>3</v>
      </c>
      <c r="O791" s="15">
        <f t="shared" si="126"/>
        <v>174.62980769230768</v>
      </c>
      <c r="P791" s="15">
        <f t="shared" si="127"/>
        <v>349.25961538461536</v>
      </c>
      <c r="Q791" s="15">
        <f t="shared" si="128"/>
        <v>1047.7788461538462</v>
      </c>
      <c r="R791" s="12">
        <v>79222</v>
      </c>
      <c r="S791" s="15">
        <f t="shared" si="129"/>
        <v>90356</v>
      </c>
      <c r="T791" s="20">
        <f>S791/median_percentile!$B$1</f>
        <v>1.792831135847297</v>
      </c>
      <c r="U791" s="24" t="str" cm="1">
        <f t="array" ref="U791">_xlfn.IFS(T791&lt;1,"underpaid",T791&gt;1,"overpaid",T791=1,"median pay")</f>
        <v>overpaid</v>
      </c>
      <c r="V791" s="5"/>
    </row>
    <row r="792" spans="1:22" x14ac:dyDescent="0.3">
      <c r="A792" s="21" t="s">
        <v>803</v>
      </c>
      <c r="B792" s="8" t="s">
        <v>1802</v>
      </c>
      <c r="C792" s="8" t="s">
        <v>2011</v>
      </c>
      <c r="D792" s="9">
        <v>45390</v>
      </c>
      <c r="E792" s="10">
        <f t="shared" si="120"/>
        <v>614736</v>
      </c>
      <c r="F792" s="8">
        <v>43787</v>
      </c>
      <c r="G792" s="8">
        <v>7441</v>
      </c>
      <c r="H792" s="11">
        <f t="shared" si="121"/>
        <v>21893.5</v>
      </c>
      <c r="I792" s="11">
        <f t="shared" si="122"/>
        <v>8757.4</v>
      </c>
      <c r="J792" s="11">
        <f t="shared" si="123"/>
        <v>13136.099999999999</v>
      </c>
      <c r="K792" s="11">
        <f t="shared" si="124"/>
        <v>2627.22</v>
      </c>
      <c r="L792" s="8">
        <v>200</v>
      </c>
      <c r="M792" s="8">
        <f t="shared" si="125"/>
        <v>208</v>
      </c>
      <c r="N792" s="11">
        <v>5</v>
      </c>
      <c r="O792" s="11">
        <f t="shared" si="126"/>
        <v>105.25721153846153</v>
      </c>
      <c r="P792" s="11">
        <f t="shared" si="127"/>
        <v>210.51442307692307</v>
      </c>
      <c r="Q792" s="11">
        <f t="shared" si="128"/>
        <v>1052.5721153846152</v>
      </c>
      <c r="R792" s="8">
        <v>48401</v>
      </c>
      <c r="S792" s="11">
        <f t="shared" si="129"/>
        <v>55842</v>
      </c>
      <c r="T792" s="20">
        <f>S792/median_percentile!$B$1</f>
        <v>1.1080091669394923</v>
      </c>
      <c r="U792" s="24" t="str" cm="1">
        <f t="array" ref="U792">_xlfn.IFS(T792&lt;1,"underpaid",T792&gt;1,"overpaid",T792=1,"median pay")</f>
        <v>overpaid</v>
      </c>
      <c r="V792" s="5"/>
    </row>
    <row r="793" spans="1:22" x14ac:dyDescent="0.3">
      <c r="A793" s="22" t="s">
        <v>804</v>
      </c>
      <c r="B793" s="12" t="s">
        <v>1803</v>
      </c>
      <c r="C793" s="12" t="s">
        <v>2013</v>
      </c>
      <c r="D793" s="13">
        <v>45898</v>
      </c>
      <c r="E793" s="14">
        <f t="shared" si="120"/>
        <v>800376</v>
      </c>
      <c r="F793" s="12">
        <v>57180</v>
      </c>
      <c r="G793" s="12">
        <v>9518</v>
      </c>
      <c r="H793" s="15">
        <f t="shared" si="121"/>
        <v>28590</v>
      </c>
      <c r="I793" s="15">
        <f t="shared" si="122"/>
        <v>11436</v>
      </c>
      <c r="J793" s="15">
        <f t="shared" si="123"/>
        <v>17154</v>
      </c>
      <c r="K793" s="15">
        <f t="shared" si="124"/>
        <v>3430.7999999999997</v>
      </c>
      <c r="L793" s="12">
        <v>200</v>
      </c>
      <c r="M793" s="12">
        <f t="shared" si="125"/>
        <v>208</v>
      </c>
      <c r="N793" s="15">
        <v>3</v>
      </c>
      <c r="O793" s="15">
        <f t="shared" si="126"/>
        <v>137.45192307692307</v>
      </c>
      <c r="P793" s="15">
        <f t="shared" si="127"/>
        <v>274.90384615384613</v>
      </c>
      <c r="Q793" s="15">
        <f t="shared" si="128"/>
        <v>824.71153846153834</v>
      </c>
      <c r="R793" s="12">
        <v>63068</v>
      </c>
      <c r="S793" s="15">
        <f t="shared" si="129"/>
        <v>72586</v>
      </c>
      <c r="T793" s="20">
        <f>S793/median_percentile!$B$1</f>
        <v>1.4402412770221336</v>
      </c>
      <c r="U793" s="24" t="str" cm="1">
        <f t="array" ref="U793">_xlfn.IFS(T793&lt;1,"underpaid",T793&gt;1,"overpaid",T793=1,"median pay")</f>
        <v>overpaid</v>
      </c>
      <c r="V793" s="5"/>
    </row>
    <row r="794" spans="1:22" x14ac:dyDescent="0.3">
      <c r="A794" s="21" t="s">
        <v>805</v>
      </c>
      <c r="B794" s="8" t="s">
        <v>1804</v>
      </c>
      <c r="C794" s="8" t="s">
        <v>2016</v>
      </c>
      <c r="D794" s="9">
        <v>45387</v>
      </c>
      <c r="E794" s="10">
        <f t="shared" si="120"/>
        <v>620232</v>
      </c>
      <c r="F794" s="8">
        <v>43660</v>
      </c>
      <c r="G794" s="8">
        <v>8026</v>
      </c>
      <c r="H794" s="11">
        <f t="shared" si="121"/>
        <v>21830</v>
      </c>
      <c r="I794" s="11">
        <f t="shared" si="122"/>
        <v>8732</v>
      </c>
      <c r="J794" s="11">
        <f t="shared" si="123"/>
        <v>13098</v>
      </c>
      <c r="K794" s="11">
        <f t="shared" si="124"/>
        <v>2619.6</v>
      </c>
      <c r="L794" s="8">
        <v>200</v>
      </c>
      <c r="M794" s="8">
        <f t="shared" si="125"/>
        <v>208</v>
      </c>
      <c r="N794" s="11">
        <v>4</v>
      </c>
      <c r="O794" s="11">
        <f t="shared" si="126"/>
        <v>104.95192307692308</v>
      </c>
      <c r="P794" s="11">
        <f t="shared" si="127"/>
        <v>209.90384615384616</v>
      </c>
      <c r="Q794" s="11">
        <f t="shared" si="128"/>
        <v>839.61538461538464</v>
      </c>
      <c r="R794" s="8">
        <v>48867</v>
      </c>
      <c r="S794" s="11">
        <f t="shared" si="129"/>
        <v>56893</v>
      </c>
      <c r="T794" s="20">
        <f>S794/median_percentile!$B$1</f>
        <v>1.1288629621913351</v>
      </c>
      <c r="U794" s="24" t="str" cm="1">
        <f t="array" ref="U794">_xlfn.IFS(T794&lt;1,"underpaid",T794&gt;1,"overpaid",T794=1,"median pay")</f>
        <v>overpaid</v>
      </c>
      <c r="V794" s="5"/>
    </row>
    <row r="795" spans="1:22" x14ac:dyDescent="0.3">
      <c r="A795" s="22" t="s">
        <v>806</v>
      </c>
      <c r="B795" s="12" t="s">
        <v>1805</v>
      </c>
      <c r="C795" s="12" t="s">
        <v>2013</v>
      </c>
      <c r="D795" s="13">
        <v>44855</v>
      </c>
      <c r="E795" s="14">
        <f t="shared" si="120"/>
        <v>824736</v>
      </c>
      <c r="F795" s="12">
        <v>62047</v>
      </c>
      <c r="G795" s="12">
        <v>6681</v>
      </c>
      <c r="H795" s="15">
        <f t="shared" si="121"/>
        <v>31023.5</v>
      </c>
      <c r="I795" s="15">
        <f t="shared" si="122"/>
        <v>12409.400000000001</v>
      </c>
      <c r="J795" s="15">
        <f t="shared" si="123"/>
        <v>18614.099999999999</v>
      </c>
      <c r="K795" s="15">
        <f t="shared" si="124"/>
        <v>3722.8199999999997</v>
      </c>
      <c r="L795" s="12">
        <v>200</v>
      </c>
      <c r="M795" s="12">
        <f t="shared" si="125"/>
        <v>208</v>
      </c>
      <c r="N795" s="15">
        <v>3</v>
      </c>
      <c r="O795" s="15">
        <f t="shared" si="126"/>
        <v>149.15144230769232</v>
      </c>
      <c r="P795" s="15">
        <f t="shared" si="127"/>
        <v>298.30288461538464</v>
      </c>
      <c r="Q795" s="15">
        <f t="shared" si="128"/>
        <v>894.90865384615392</v>
      </c>
      <c r="R795" s="12">
        <v>64806</v>
      </c>
      <c r="S795" s="15">
        <f t="shared" si="129"/>
        <v>71487</v>
      </c>
      <c r="T795" s="20">
        <f>S795/median_percentile!$B$1</f>
        <v>1.4184350724723951</v>
      </c>
      <c r="U795" s="24" t="str" cm="1">
        <f t="array" ref="U795">_xlfn.IFS(T795&lt;1,"underpaid",T795&gt;1,"overpaid",T795=1,"median pay")</f>
        <v>overpaid</v>
      </c>
      <c r="V795" s="5"/>
    </row>
    <row r="796" spans="1:22" x14ac:dyDescent="0.3">
      <c r="A796" s="21" t="s">
        <v>807</v>
      </c>
      <c r="B796" s="8" t="s">
        <v>1806</v>
      </c>
      <c r="C796" s="8" t="s">
        <v>2016</v>
      </c>
      <c r="D796" s="9">
        <v>44749</v>
      </c>
      <c r="E796" s="10">
        <f t="shared" si="120"/>
        <v>576840</v>
      </c>
      <c r="F796" s="8">
        <v>40075</v>
      </c>
      <c r="G796" s="8">
        <v>7995</v>
      </c>
      <c r="H796" s="11">
        <f t="shared" si="121"/>
        <v>20037.5</v>
      </c>
      <c r="I796" s="11">
        <f t="shared" si="122"/>
        <v>8015</v>
      </c>
      <c r="J796" s="11">
        <f t="shared" si="123"/>
        <v>12022.5</v>
      </c>
      <c r="K796" s="11">
        <f t="shared" si="124"/>
        <v>2404.5</v>
      </c>
      <c r="L796" s="8">
        <v>200</v>
      </c>
      <c r="M796" s="8">
        <f t="shared" si="125"/>
        <v>208</v>
      </c>
      <c r="N796" s="11">
        <v>5</v>
      </c>
      <c r="O796" s="11">
        <f t="shared" si="126"/>
        <v>96.334134615384613</v>
      </c>
      <c r="P796" s="11">
        <f t="shared" si="127"/>
        <v>192.66826923076923</v>
      </c>
      <c r="Q796" s="11">
        <f t="shared" si="128"/>
        <v>963.34134615384619</v>
      </c>
      <c r="R796" s="8">
        <v>45466</v>
      </c>
      <c r="S796" s="11">
        <f t="shared" si="129"/>
        <v>53461</v>
      </c>
      <c r="T796" s="20">
        <f>S796/median_percentile!$B$1</f>
        <v>1.0607656973917874</v>
      </c>
      <c r="U796" s="24" t="str" cm="1">
        <f t="array" ref="U796">_xlfn.IFS(T796&lt;1,"underpaid",T796&gt;1,"overpaid",T796=1,"median pay")</f>
        <v>overpaid</v>
      </c>
      <c r="V796" s="5"/>
    </row>
    <row r="797" spans="1:22" x14ac:dyDescent="0.3">
      <c r="A797" s="22" t="s">
        <v>808</v>
      </c>
      <c r="B797" s="12" t="s">
        <v>1807</v>
      </c>
      <c r="C797" s="12" t="s">
        <v>2015</v>
      </c>
      <c r="D797" s="13">
        <v>43825</v>
      </c>
      <c r="E797" s="14">
        <f t="shared" si="120"/>
        <v>590124</v>
      </c>
      <c r="F797" s="12">
        <v>42666</v>
      </c>
      <c r="G797" s="12">
        <v>6511</v>
      </c>
      <c r="H797" s="15">
        <f t="shared" si="121"/>
        <v>21333</v>
      </c>
      <c r="I797" s="15">
        <f t="shared" si="122"/>
        <v>8533.2000000000007</v>
      </c>
      <c r="J797" s="15">
        <f t="shared" si="123"/>
        <v>12799.8</v>
      </c>
      <c r="K797" s="15">
        <f t="shared" si="124"/>
        <v>2559.96</v>
      </c>
      <c r="L797" s="12">
        <v>200</v>
      </c>
      <c r="M797" s="12">
        <f t="shared" si="125"/>
        <v>208</v>
      </c>
      <c r="N797" s="15">
        <v>1</v>
      </c>
      <c r="O797" s="15">
        <f t="shared" si="126"/>
        <v>102.5625</v>
      </c>
      <c r="P797" s="15">
        <f t="shared" si="127"/>
        <v>205.125</v>
      </c>
      <c r="Q797" s="15">
        <f t="shared" si="128"/>
        <v>205.125</v>
      </c>
      <c r="R797" s="12">
        <v>46418</v>
      </c>
      <c r="S797" s="15">
        <f t="shared" si="129"/>
        <v>52929</v>
      </c>
      <c r="T797" s="20">
        <f>S797/median_percentile!$B$1</f>
        <v>1.0502098276734426</v>
      </c>
      <c r="U797" s="24" t="str" cm="1">
        <f t="array" ref="U797">_xlfn.IFS(T797&lt;1,"underpaid",T797&gt;1,"overpaid",T797=1,"median pay")</f>
        <v>overpaid</v>
      </c>
      <c r="V797" s="5"/>
    </row>
    <row r="798" spans="1:22" x14ac:dyDescent="0.3">
      <c r="A798" s="21" t="s">
        <v>809</v>
      </c>
      <c r="B798" s="8" t="s">
        <v>1808</v>
      </c>
      <c r="C798" s="8" t="s">
        <v>2014</v>
      </c>
      <c r="D798" s="9">
        <v>44787</v>
      </c>
      <c r="E798" s="10">
        <f t="shared" si="120"/>
        <v>954696</v>
      </c>
      <c r="F798" s="8">
        <v>69404</v>
      </c>
      <c r="G798" s="8">
        <v>10154</v>
      </c>
      <c r="H798" s="11">
        <f t="shared" si="121"/>
        <v>34702</v>
      </c>
      <c r="I798" s="11">
        <f t="shared" si="122"/>
        <v>13880.800000000001</v>
      </c>
      <c r="J798" s="11">
        <f t="shared" si="123"/>
        <v>20821.199999999997</v>
      </c>
      <c r="K798" s="11">
        <f t="shared" si="124"/>
        <v>4164.24</v>
      </c>
      <c r="L798" s="8">
        <v>200</v>
      </c>
      <c r="M798" s="8">
        <f t="shared" si="125"/>
        <v>208</v>
      </c>
      <c r="N798" s="11">
        <v>0</v>
      </c>
      <c r="O798" s="11">
        <f t="shared" si="126"/>
        <v>166.83653846153845</v>
      </c>
      <c r="P798" s="11">
        <f t="shared" si="127"/>
        <v>333.67307692307691</v>
      </c>
      <c r="Q798" s="11">
        <f t="shared" si="128"/>
        <v>0</v>
      </c>
      <c r="R798" s="8">
        <v>75194</v>
      </c>
      <c r="S798" s="11">
        <f t="shared" si="129"/>
        <v>85348</v>
      </c>
      <c r="T798" s="20">
        <f>S798/median_percentile!$B$1</f>
        <v>1.6934630991001716</v>
      </c>
      <c r="U798" s="24" t="str" cm="1">
        <f t="array" ref="U798">_xlfn.IFS(T798&lt;1,"underpaid",T798&gt;1,"overpaid",T798=1,"median pay")</f>
        <v>overpaid</v>
      </c>
      <c r="V798" s="5"/>
    </row>
    <row r="799" spans="1:22" x14ac:dyDescent="0.3">
      <c r="A799" s="22" t="s">
        <v>810</v>
      </c>
      <c r="B799" s="12" t="s">
        <v>1809</v>
      </c>
      <c r="C799" s="12" t="s">
        <v>2011</v>
      </c>
      <c r="D799" s="13">
        <v>43952</v>
      </c>
      <c r="E799" s="14">
        <f t="shared" si="120"/>
        <v>464808</v>
      </c>
      <c r="F799" s="12">
        <v>32957</v>
      </c>
      <c r="G799" s="12">
        <v>5777</v>
      </c>
      <c r="H799" s="15">
        <f t="shared" si="121"/>
        <v>16478.5</v>
      </c>
      <c r="I799" s="15">
        <f t="shared" si="122"/>
        <v>6591.4000000000005</v>
      </c>
      <c r="J799" s="15">
        <f t="shared" si="123"/>
        <v>9887.0999999999985</v>
      </c>
      <c r="K799" s="15">
        <f t="shared" si="124"/>
        <v>1977.4199999999998</v>
      </c>
      <c r="L799" s="12">
        <v>200</v>
      </c>
      <c r="M799" s="12">
        <f t="shared" si="125"/>
        <v>208</v>
      </c>
      <c r="N799" s="15">
        <v>5</v>
      </c>
      <c r="O799" s="15">
        <f t="shared" si="126"/>
        <v>79.223557692307693</v>
      </c>
      <c r="P799" s="15">
        <f t="shared" si="127"/>
        <v>158.44711538461539</v>
      </c>
      <c r="Q799" s="15">
        <f t="shared" si="128"/>
        <v>792.23557692307691</v>
      </c>
      <c r="R799" s="12">
        <v>36831</v>
      </c>
      <c r="S799" s="15">
        <f t="shared" si="129"/>
        <v>42608</v>
      </c>
      <c r="T799" s="20">
        <f>S799/median_percentile!$B$1</f>
        <v>0.84542198676547908</v>
      </c>
      <c r="U799" s="24" t="str" cm="1">
        <f t="array" ref="U799">_xlfn.IFS(T799&lt;1,"underpaid",T799&gt;1,"overpaid",T799=1,"median pay")</f>
        <v>underpaid</v>
      </c>
      <c r="V799" s="5"/>
    </row>
    <row r="800" spans="1:22" x14ac:dyDescent="0.3">
      <c r="A800" s="21" t="s">
        <v>811</v>
      </c>
      <c r="B800" s="8" t="s">
        <v>1810</v>
      </c>
      <c r="C800" s="8" t="s">
        <v>2012</v>
      </c>
      <c r="D800" s="9">
        <v>43847</v>
      </c>
      <c r="E800" s="10">
        <f t="shared" si="120"/>
        <v>479964</v>
      </c>
      <c r="F800" s="8">
        <v>35618</v>
      </c>
      <c r="G800" s="8">
        <v>4379</v>
      </c>
      <c r="H800" s="11">
        <f t="shared" si="121"/>
        <v>17809</v>
      </c>
      <c r="I800" s="11">
        <f t="shared" si="122"/>
        <v>7123.6</v>
      </c>
      <c r="J800" s="11">
        <f t="shared" si="123"/>
        <v>10685.400000000001</v>
      </c>
      <c r="K800" s="11">
        <f t="shared" si="124"/>
        <v>2137.08</v>
      </c>
      <c r="L800" s="8">
        <v>200</v>
      </c>
      <c r="M800" s="8">
        <f t="shared" si="125"/>
        <v>208</v>
      </c>
      <c r="N800" s="11">
        <v>3</v>
      </c>
      <c r="O800" s="11">
        <f t="shared" si="126"/>
        <v>85.620192307692307</v>
      </c>
      <c r="P800" s="11">
        <f t="shared" si="127"/>
        <v>171.24038461538461</v>
      </c>
      <c r="Q800" s="11">
        <f t="shared" si="128"/>
        <v>513.72115384615381</v>
      </c>
      <c r="R800" s="8">
        <v>37660</v>
      </c>
      <c r="S800" s="11">
        <f t="shared" si="129"/>
        <v>42039</v>
      </c>
      <c r="T800" s="20">
        <f>S800/median_percentile!$B$1</f>
        <v>0.83413196821333968</v>
      </c>
      <c r="U800" s="24" t="str" cm="1">
        <f t="array" ref="U800">_xlfn.IFS(T800&lt;1,"underpaid",T800&gt;1,"overpaid",T800=1,"median pay")</f>
        <v>underpaid</v>
      </c>
      <c r="V800" s="5"/>
    </row>
    <row r="801" spans="1:22" x14ac:dyDescent="0.3">
      <c r="A801" s="22" t="s">
        <v>812</v>
      </c>
      <c r="B801" s="12" t="s">
        <v>1811</v>
      </c>
      <c r="C801" s="12" t="s">
        <v>2016</v>
      </c>
      <c r="D801" s="13">
        <v>45811</v>
      </c>
      <c r="E801" s="14">
        <f t="shared" si="120"/>
        <v>382476</v>
      </c>
      <c r="F801" s="12">
        <v>28683</v>
      </c>
      <c r="G801" s="12">
        <v>3190</v>
      </c>
      <c r="H801" s="15">
        <f t="shared" si="121"/>
        <v>14341.5</v>
      </c>
      <c r="I801" s="15">
        <f t="shared" si="122"/>
        <v>5736.6</v>
      </c>
      <c r="J801" s="15">
        <f t="shared" si="123"/>
        <v>8604.9000000000015</v>
      </c>
      <c r="K801" s="15">
        <f t="shared" si="124"/>
        <v>1720.98</v>
      </c>
      <c r="L801" s="12">
        <v>200</v>
      </c>
      <c r="M801" s="12">
        <f t="shared" si="125"/>
        <v>208</v>
      </c>
      <c r="N801" s="15">
        <v>5</v>
      </c>
      <c r="O801" s="15">
        <f t="shared" si="126"/>
        <v>68.949519230769226</v>
      </c>
      <c r="P801" s="15">
        <f t="shared" si="127"/>
        <v>137.89903846153845</v>
      </c>
      <c r="Q801" s="15">
        <f t="shared" si="128"/>
        <v>689.49519230769226</v>
      </c>
      <c r="R801" s="12">
        <v>29953</v>
      </c>
      <c r="S801" s="15">
        <f t="shared" si="129"/>
        <v>33143</v>
      </c>
      <c r="T801" s="20">
        <f>S801/median_percentile!$B$1</f>
        <v>0.65761877833665683</v>
      </c>
      <c r="U801" s="24" t="str" cm="1">
        <f t="array" ref="U801">_xlfn.IFS(T801&lt;1,"underpaid",T801&gt;1,"overpaid",T801=1,"median pay")</f>
        <v>underpaid</v>
      </c>
      <c r="V801" s="5"/>
    </row>
    <row r="802" spans="1:22" x14ac:dyDescent="0.3">
      <c r="A802" s="21" t="s">
        <v>813</v>
      </c>
      <c r="B802" s="8" t="s">
        <v>1812</v>
      </c>
      <c r="C802" s="8" t="s">
        <v>2013</v>
      </c>
      <c r="D802" s="9">
        <v>44467</v>
      </c>
      <c r="E802" s="10">
        <f t="shared" si="120"/>
        <v>855132</v>
      </c>
      <c r="F802" s="8">
        <v>61118</v>
      </c>
      <c r="G802" s="8">
        <v>10143</v>
      </c>
      <c r="H802" s="11">
        <f t="shared" si="121"/>
        <v>30559</v>
      </c>
      <c r="I802" s="11">
        <f t="shared" si="122"/>
        <v>12223.6</v>
      </c>
      <c r="J802" s="11">
        <f t="shared" si="123"/>
        <v>18335.400000000001</v>
      </c>
      <c r="K802" s="11">
        <f t="shared" si="124"/>
        <v>3667.08</v>
      </c>
      <c r="L802" s="8">
        <v>200</v>
      </c>
      <c r="M802" s="8">
        <f t="shared" si="125"/>
        <v>208</v>
      </c>
      <c r="N802" s="11">
        <v>3</v>
      </c>
      <c r="O802" s="11">
        <f t="shared" si="126"/>
        <v>146.91826923076923</v>
      </c>
      <c r="P802" s="11">
        <f t="shared" si="127"/>
        <v>293.83653846153845</v>
      </c>
      <c r="Q802" s="11">
        <f t="shared" si="128"/>
        <v>881.50961538461536</v>
      </c>
      <c r="R802" s="8">
        <v>67394</v>
      </c>
      <c r="S802" s="11">
        <f t="shared" si="129"/>
        <v>77537</v>
      </c>
      <c r="T802" s="20">
        <f>S802/median_percentile!$B$1</f>
        <v>1.5384783277280079</v>
      </c>
      <c r="U802" s="24" t="str" cm="1">
        <f t="array" ref="U802">_xlfn.IFS(T802&lt;1,"underpaid",T802&gt;1,"overpaid",T802=1,"median pay")</f>
        <v>overpaid</v>
      </c>
      <c r="V802" s="5"/>
    </row>
    <row r="803" spans="1:22" x14ac:dyDescent="0.3">
      <c r="A803" s="22" t="s">
        <v>814</v>
      </c>
      <c r="B803" s="12" t="s">
        <v>1813</v>
      </c>
      <c r="C803" s="12" t="s">
        <v>2013</v>
      </c>
      <c r="D803" s="13">
        <v>44131</v>
      </c>
      <c r="E803" s="14">
        <f t="shared" si="120"/>
        <v>818352</v>
      </c>
      <c r="F803" s="12">
        <v>59237</v>
      </c>
      <c r="G803" s="12">
        <v>8959</v>
      </c>
      <c r="H803" s="15">
        <f t="shared" si="121"/>
        <v>29618.5</v>
      </c>
      <c r="I803" s="15">
        <f t="shared" si="122"/>
        <v>11847.400000000001</v>
      </c>
      <c r="J803" s="15">
        <f t="shared" si="123"/>
        <v>17771.099999999999</v>
      </c>
      <c r="K803" s="15">
        <f t="shared" si="124"/>
        <v>3554.22</v>
      </c>
      <c r="L803" s="12">
        <v>200</v>
      </c>
      <c r="M803" s="12">
        <f t="shared" si="125"/>
        <v>208</v>
      </c>
      <c r="N803" s="15">
        <v>1</v>
      </c>
      <c r="O803" s="15">
        <f t="shared" si="126"/>
        <v>142.39663461538461</v>
      </c>
      <c r="P803" s="15">
        <f t="shared" si="127"/>
        <v>284.79326923076923</v>
      </c>
      <c r="Q803" s="15">
        <f t="shared" si="128"/>
        <v>284.79326923076923</v>
      </c>
      <c r="R803" s="12">
        <v>65429</v>
      </c>
      <c r="S803" s="15">
        <f t="shared" si="129"/>
        <v>74388</v>
      </c>
      <c r="T803" s="20">
        <f>S803/median_percentile!$B$1</f>
        <v>1.4759963094139708</v>
      </c>
      <c r="U803" s="24" t="str" cm="1">
        <f t="array" ref="U803">_xlfn.IFS(T803&lt;1,"underpaid",T803&gt;1,"overpaid",T803=1,"median pay")</f>
        <v>overpaid</v>
      </c>
      <c r="V803" s="5"/>
    </row>
    <row r="804" spans="1:22" x14ac:dyDescent="0.3">
      <c r="A804" s="21" t="s">
        <v>815</v>
      </c>
      <c r="B804" s="8" t="s">
        <v>1814</v>
      </c>
      <c r="C804" s="8" t="s">
        <v>2015</v>
      </c>
      <c r="D804" s="9">
        <v>43716</v>
      </c>
      <c r="E804" s="10">
        <f t="shared" si="120"/>
        <v>599328</v>
      </c>
      <c r="F804" s="8">
        <v>43847</v>
      </c>
      <c r="G804" s="8">
        <v>6097</v>
      </c>
      <c r="H804" s="11">
        <f t="shared" si="121"/>
        <v>21923.5</v>
      </c>
      <c r="I804" s="11">
        <f t="shared" si="122"/>
        <v>8769.4</v>
      </c>
      <c r="J804" s="11">
        <f t="shared" si="123"/>
        <v>13154.099999999999</v>
      </c>
      <c r="K804" s="11">
        <f t="shared" si="124"/>
        <v>2630.8199999999997</v>
      </c>
      <c r="L804" s="8">
        <v>200</v>
      </c>
      <c r="M804" s="8">
        <f t="shared" si="125"/>
        <v>208</v>
      </c>
      <c r="N804" s="11">
        <v>3</v>
      </c>
      <c r="O804" s="11">
        <f t="shared" si="126"/>
        <v>105.40144230769231</v>
      </c>
      <c r="P804" s="11">
        <f t="shared" si="127"/>
        <v>210.80288461538461</v>
      </c>
      <c r="Q804" s="11">
        <f t="shared" si="128"/>
        <v>632.40865384615381</v>
      </c>
      <c r="R804" s="8">
        <v>47479</v>
      </c>
      <c r="S804" s="11">
        <f t="shared" si="129"/>
        <v>53576</v>
      </c>
      <c r="T804" s="20">
        <f>S804/median_percentile!$B$1</f>
        <v>1.0630475113346627</v>
      </c>
      <c r="U804" s="24" t="str" cm="1">
        <f t="array" ref="U804">_xlfn.IFS(T804&lt;1,"underpaid",T804&gt;1,"overpaid",T804=1,"median pay")</f>
        <v>overpaid</v>
      </c>
      <c r="V804" s="5"/>
    </row>
    <row r="805" spans="1:22" x14ac:dyDescent="0.3">
      <c r="A805" s="22" t="s">
        <v>816</v>
      </c>
      <c r="B805" s="12" t="s">
        <v>1815</v>
      </c>
      <c r="C805" s="12" t="s">
        <v>2016</v>
      </c>
      <c r="D805" s="13">
        <v>43553</v>
      </c>
      <c r="E805" s="14">
        <f t="shared" si="120"/>
        <v>503916</v>
      </c>
      <c r="F805" s="12">
        <v>36906</v>
      </c>
      <c r="G805" s="12">
        <v>5087</v>
      </c>
      <c r="H805" s="15">
        <f t="shared" si="121"/>
        <v>18453</v>
      </c>
      <c r="I805" s="15">
        <f t="shared" si="122"/>
        <v>7381.2000000000007</v>
      </c>
      <c r="J805" s="15">
        <f t="shared" si="123"/>
        <v>11071.8</v>
      </c>
      <c r="K805" s="15">
        <f t="shared" si="124"/>
        <v>2214.36</v>
      </c>
      <c r="L805" s="12">
        <v>200</v>
      </c>
      <c r="M805" s="12">
        <f t="shared" si="125"/>
        <v>208</v>
      </c>
      <c r="N805" s="15">
        <v>1</v>
      </c>
      <c r="O805" s="15">
        <f t="shared" si="126"/>
        <v>88.71634615384616</v>
      </c>
      <c r="P805" s="15">
        <f t="shared" si="127"/>
        <v>177.43269230769232</v>
      </c>
      <c r="Q805" s="15">
        <f t="shared" si="128"/>
        <v>177.43269230769232</v>
      </c>
      <c r="R805" s="12">
        <v>39579</v>
      </c>
      <c r="S805" s="15">
        <f t="shared" si="129"/>
        <v>44666</v>
      </c>
      <c r="T805" s="20">
        <f>S805/median_percentile!$B$1</f>
        <v>0.88625653541276028</v>
      </c>
      <c r="U805" s="24" t="str" cm="1">
        <f t="array" ref="U805">_xlfn.IFS(T805&lt;1,"underpaid",T805&gt;1,"overpaid",T805=1,"median pay")</f>
        <v>underpaid</v>
      </c>
      <c r="V805" s="5"/>
    </row>
    <row r="806" spans="1:22" x14ac:dyDescent="0.3">
      <c r="A806" s="21" t="s">
        <v>817</v>
      </c>
      <c r="B806" s="8" t="s">
        <v>1816</v>
      </c>
      <c r="C806" s="8" t="s">
        <v>2012</v>
      </c>
      <c r="D806" s="9">
        <v>45579</v>
      </c>
      <c r="E806" s="10">
        <f t="shared" si="120"/>
        <v>628092</v>
      </c>
      <c r="F806" s="8">
        <v>46373</v>
      </c>
      <c r="G806" s="8">
        <v>5968</v>
      </c>
      <c r="H806" s="11">
        <f t="shared" si="121"/>
        <v>23186.5</v>
      </c>
      <c r="I806" s="11">
        <f t="shared" si="122"/>
        <v>9274.6</v>
      </c>
      <c r="J806" s="11">
        <f t="shared" si="123"/>
        <v>13911.900000000001</v>
      </c>
      <c r="K806" s="11">
        <f t="shared" si="124"/>
        <v>2782.38</v>
      </c>
      <c r="L806" s="8">
        <v>200</v>
      </c>
      <c r="M806" s="8">
        <f t="shared" si="125"/>
        <v>208</v>
      </c>
      <c r="N806" s="11">
        <v>1</v>
      </c>
      <c r="O806" s="11">
        <f t="shared" si="126"/>
        <v>111.47355769230769</v>
      </c>
      <c r="P806" s="11">
        <f t="shared" si="127"/>
        <v>222.94711538461539</v>
      </c>
      <c r="Q806" s="11">
        <f t="shared" si="128"/>
        <v>222.94711538461539</v>
      </c>
      <c r="R806" s="8">
        <v>49745</v>
      </c>
      <c r="S806" s="11">
        <f t="shared" si="129"/>
        <v>55713</v>
      </c>
      <c r="T806" s="20">
        <f>S806/median_percentile!$B$1</f>
        <v>1.1054495669513973</v>
      </c>
      <c r="U806" s="24" t="str" cm="1">
        <f t="array" ref="U806">_xlfn.IFS(T806&lt;1,"underpaid",T806&gt;1,"overpaid",T806=1,"median pay")</f>
        <v>overpaid</v>
      </c>
      <c r="V806" s="5"/>
    </row>
    <row r="807" spans="1:22" x14ac:dyDescent="0.3">
      <c r="A807" s="22" t="s">
        <v>818</v>
      </c>
      <c r="B807" s="12" t="s">
        <v>1817</v>
      </c>
      <c r="C807" s="12" t="s">
        <v>2015</v>
      </c>
      <c r="D807" s="13">
        <v>43955</v>
      </c>
      <c r="E807" s="14">
        <f t="shared" si="120"/>
        <v>604080</v>
      </c>
      <c r="F807" s="12">
        <v>44156</v>
      </c>
      <c r="G807" s="12">
        <v>6184</v>
      </c>
      <c r="H807" s="15">
        <f t="shared" si="121"/>
        <v>22078</v>
      </c>
      <c r="I807" s="15">
        <f t="shared" si="122"/>
        <v>8831.2000000000007</v>
      </c>
      <c r="J807" s="15">
        <f t="shared" si="123"/>
        <v>13246.8</v>
      </c>
      <c r="K807" s="15">
        <f t="shared" si="124"/>
        <v>2649.36</v>
      </c>
      <c r="L807" s="12">
        <v>200</v>
      </c>
      <c r="M807" s="12">
        <f t="shared" si="125"/>
        <v>208</v>
      </c>
      <c r="N807" s="15">
        <v>2</v>
      </c>
      <c r="O807" s="15">
        <f t="shared" si="126"/>
        <v>106.14423076923077</v>
      </c>
      <c r="P807" s="15">
        <f t="shared" si="127"/>
        <v>212.28846153846155</v>
      </c>
      <c r="Q807" s="15">
        <f t="shared" si="128"/>
        <v>424.57692307692309</v>
      </c>
      <c r="R807" s="12">
        <v>47858</v>
      </c>
      <c r="S807" s="15">
        <f t="shared" si="129"/>
        <v>54042</v>
      </c>
      <c r="T807" s="20">
        <f>S807/median_percentile!$B$1</f>
        <v>1.0722938182684008</v>
      </c>
      <c r="U807" s="24" t="str" cm="1">
        <f t="array" ref="U807">_xlfn.IFS(T807&lt;1,"underpaid",T807&gt;1,"overpaid",T807=1,"median pay")</f>
        <v>overpaid</v>
      </c>
      <c r="V807" s="5"/>
    </row>
    <row r="808" spans="1:22" x14ac:dyDescent="0.3">
      <c r="A808" s="21" t="s">
        <v>819</v>
      </c>
      <c r="B808" s="8" t="s">
        <v>1818</v>
      </c>
      <c r="C808" s="8" t="s">
        <v>2013</v>
      </c>
      <c r="D808" s="9">
        <v>43937</v>
      </c>
      <c r="E808" s="10">
        <f t="shared" si="120"/>
        <v>602928</v>
      </c>
      <c r="F808" s="8">
        <v>45494</v>
      </c>
      <c r="G808" s="8">
        <v>4750</v>
      </c>
      <c r="H808" s="11">
        <f t="shared" si="121"/>
        <v>22747</v>
      </c>
      <c r="I808" s="11">
        <f t="shared" si="122"/>
        <v>9098.8000000000011</v>
      </c>
      <c r="J808" s="11">
        <f t="shared" si="123"/>
        <v>13648.199999999997</v>
      </c>
      <c r="K808" s="11">
        <f t="shared" si="124"/>
        <v>2729.64</v>
      </c>
      <c r="L808" s="8">
        <v>200</v>
      </c>
      <c r="M808" s="8">
        <f t="shared" si="125"/>
        <v>208</v>
      </c>
      <c r="N808" s="11">
        <v>2</v>
      </c>
      <c r="O808" s="11">
        <f t="shared" si="126"/>
        <v>109.36057692307692</v>
      </c>
      <c r="P808" s="11">
        <f t="shared" si="127"/>
        <v>218.72115384615384</v>
      </c>
      <c r="Q808" s="11">
        <f t="shared" si="128"/>
        <v>437.44230769230768</v>
      </c>
      <c r="R808" s="8">
        <v>47315</v>
      </c>
      <c r="S808" s="11">
        <f t="shared" si="129"/>
        <v>52065</v>
      </c>
      <c r="T808" s="20">
        <f>S808/median_percentile!$B$1</f>
        <v>1.0330664603113189</v>
      </c>
      <c r="U808" s="24" t="str" cm="1">
        <f t="array" ref="U808">_xlfn.IFS(T808&lt;1,"underpaid",T808&gt;1,"overpaid",T808=1,"median pay")</f>
        <v>overpaid</v>
      </c>
      <c r="V808" s="5"/>
    </row>
    <row r="809" spans="1:22" x14ac:dyDescent="0.3">
      <c r="A809" s="22" t="s">
        <v>820</v>
      </c>
      <c r="B809" s="12" t="s">
        <v>1819</v>
      </c>
      <c r="C809" s="12" t="s">
        <v>2013</v>
      </c>
      <c r="D809" s="13">
        <v>44263</v>
      </c>
      <c r="E809" s="14">
        <f t="shared" si="120"/>
        <v>705900</v>
      </c>
      <c r="F809" s="12">
        <v>52350</v>
      </c>
      <c r="G809" s="12">
        <v>6475</v>
      </c>
      <c r="H809" s="15">
        <f t="shared" si="121"/>
        <v>26175</v>
      </c>
      <c r="I809" s="15">
        <f t="shared" si="122"/>
        <v>10470</v>
      </c>
      <c r="J809" s="15">
        <f t="shared" si="123"/>
        <v>15705</v>
      </c>
      <c r="K809" s="15">
        <f t="shared" si="124"/>
        <v>3141</v>
      </c>
      <c r="L809" s="12">
        <v>200</v>
      </c>
      <c r="M809" s="12">
        <f t="shared" si="125"/>
        <v>208</v>
      </c>
      <c r="N809" s="15">
        <v>5</v>
      </c>
      <c r="O809" s="15">
        <f t="shared" si="126"/>
        <v>125.84134615384616</v>
      </c>
      <c r="P809" s="15">
        <f t="shared" si="127"/>
        <v>251.68269230769232</v>
      </c>
      <c r="Q809" s="15">
        <f t="shared" si="128"/>
        <v>1258.4134615384617</v>
      </c>
      <c r="R809" s="12">
        <v>55920</v>
      </c>
      <c r="S809" s="15">
        <f t="shared" si="129"/>
        <v>62395</v>
      </c>
      <c r="T809" s="20">
        <f>S809/median_percentile!$B$1</f>
        <v>1.2380328779626377</v>
      </c>
      <c r="U809" s="24" t="str" cm="1">
        <f t="array" ref="U809">_xlfn.IFS(T809&lt;1,"underpaid",T809&gt;1,"overpaid",T809=1,"median pay")</f>
        <v>overpaid</v>
      </c>
      <c r="V809" s="5"/>
    </row>
    <row r="810" spans="1:22" x14ac:dyDescent="0.3">
      <c r="A810" s="21" t="s">
        <v>821</v>
      </c>
      <c r="B810" s="8" t="s">
        <v>1820</v>
      </c>
      <c r="C810" s="8" t="s">
        <v>2012</v>
      </c>
      <c r="D810" s="9">
        <v>46005</v>
      </c>
      <c r="E810" s="10">
        <f t="shared" si="120"/>
        <v>573180</v>
      </c>
      <c r="F810" s="8">
        <v>41469</v>
      </c>
      <c r="G810" s="8">
        <v>6296</v>
      </c>
      <c r="H810" s="11">
        <f t="shared" si="121"/>
        <v>20734.5</v>
      </c>
      <c r="I810" s="11">
        <f t="shared" si="122"/>
        <v>8293.8000000000011</v>
      </c>
      <c r="J810" s="11">
        <f t="shared" si="123"/>
        <v>12440.699999999997</v>
      </c>
      <c r="K810" s="11">
        <f t="shared" si="124"/>
        <v>2488.14</v>
      </c>
      <c r="L810" s="8">
        <v>200</v>
      </c>
      <c r="M810" s="8">
        <f t="shared" si="125"/>
        <v>208</v>
      </c>
      <c r="N810" s="11">
        <v>2</v>
      </c>
      <c r="O810" s="11">
        <f t="shared" si="126"/>
        <v>99.68509615384616</v>
      </c>
      <c r="P810" s="11">
        <f t="shared" si="127"/>
        <v>199.37019230769232</v>
      </c>
      <c r="Q810" s="11">
        <f t="shared" si="128"/>
        <v>398.74038461538464</v>
      </c>
      <c r="R810" s="8">
        <v>45077</v>
      </c>
      <c r="S810" s="11">
        <f t="shared" si="129"/>
        <v>51373</v>
      </c>
      <c r="T810" s="20">
        <f>S810/median_percentile!$B$1</f>
        <v>1.0193358929333214</v>
      </c>
      <c r="U810" s="24" t="str" cm="1">
        <f t="array" ref="U810">_xlfn.IFS(T810&lt;1,"underpaid",T810&gt;1,"overpaid",T810=1,"median pay")</f>
        <v>overpaid</v>
      </c>
      <c r="V810" s="5"/>
    </row>
    <row r="811" spans="1:22" x14ac:dyDescent="0.3">
      <c r="A811" s="22" t="s">
        <v>822</v>
      </c>
      <c r="B811" s="12" t="s">
        <v>1821</v>
      </c>
      <c r="C811" s="12" t="s">
        <v>2012</v>
      </c>
      <c r="D811" s="13">
        <v>44221</v>
      </c>
      <c r="E811" s="14">
        <f t="shared" si="120"/>
        <v>368328</v>
      </c>
      <c r="F811" s="12">
        <v>27097</v>
      </c>
      <c r="G811" s="12">
        <v>3597</v>
      </c>
      <c r="H811" s="15">
        <f t="shared" si="121"/>
        <v>13548.5</v>
      </c>
      <c r="I811" s="15">
        <f t="shared" si="122"/>
        <v>5419.4000000000005</v>
      </c>
      <c r="J811" s="15">
        <f t="shared" si="123"/>
        <v>8129.0999999999985</v>
      </c>
      <c r="K811" s="15">
        <f t="shared" si="124"/>
        <v>1625.82</v>
      </c>
      <c r="L811" s="12">
        <v>200</v>
      </c>
      <c r="M811" s="12">
        <f t="shared" si="125"/>
        <v>208</v>
      </c>
      <c r="N811" s="15">
        <v>2</v>
      </c>
      <c r="O811" s="15">
        <f t="shared" si="126"/>
        <v>65.137019230769226</v>
      </c>
      <c r="P811" s="15">
        <f t="shared" si="127"/>
        <v>130.27403846153845</v>
      </c>
      <c r="Q811" s="15">
        <f t="shared" si="128"/>
        <v>260.54807692307691</v>
      </c>
      <c r="R811" s="12">
        <v>29320</v>
      </c>
      <c r="S811" s="15">
        <f t="shared" si="129"/>
        <v>32917</v>
      </c>
      <c r="T811" s="20">
        <f>S811/median_percentile!$B$1</f>
        <v>0.65313451789239763</v>
      </c>
      <c r="U811" s="24" t="str" cm="1">
        <f t="array" ref="U811">_xlfn.IFS(T811&lt;1,"underpaid",T811&gt;1,"overpaid",T811=1,"median pay")</f>
        <v>underpaid</v>
      </c>
      <c r="V811" s="5"/>
    </row>
    <row r="812" spans="1:22" x14ac:dyDescent="0.3">
      <c r="A812" s="21" t="s">
        <v>823</v>
      </c>
      <c r="B812" s="8" t="s">
        <v>1822</v>
      </c>
      <c r="C812" s="8" t="s">
        <v>2015</v>
      </c>
      <c r="D812" s="9">
        <v>44475</v>
      </c>
      <c r="E812" s="10">
        <f t="shared" si="120"/>
        <v>750504</v>
      </c>
      <c r="F812" s="8">
        <v>52874</v>
      </c>
      <c r="G812" s="8">
        <v>9668</v>
      </c>
      <c r="H812" s="11">
        <f t="shared" si="121"/>
        <v>26437</v>
      </c>
      <c r="I812" s="11">
        <f t="shared" si="122"/>
        <v>10574.800000000001</v>
      </c>
      <c r="J812" s="11">
        <f t="shared" si="123"/>
        <v>15862.199999999997</v>
      </c>
      <c r="K812" s="11">
        <f t="shared" si="124"/>
        <v>3172.44</v>
      </c>
      <c r="L812" s="8">
        <v>200</v>
      </c>
      <c r="M812" s="8">
        <f t="shared" si="125"/>
        <v>208</v>
      </c>
      <c r="N812" s="11">
        <v>4</v>
      </c>
      <c r="O812" s="11">
        <f t="shared" si="126"/>
        <v>127.10096153846153</v>
      </c>
      <c r="P812" s="11">
        <f t="shared" si="127"/>
        <v>254.20192307692307</v>
      </c>
      <c r="Q812" s="11">
        <f t="shared" si="128"/>
        <v>1016.8076923076923</v>
      </c>
      <c r="R812" s="8">
        <v>60051</v>
      </c>
      <c r="S812" s="11">
        <f t="shared" si="129"/>
        <v>69719</v>
      </c>
      <c r="T812" s="20">
        <f>S812/median_percentile!$B$1</f>
        <v>1.3833546633332341</v>
      </c>
      <c r="U812" s="24" t="str" cm="1">
        <f t="array" ref="U812">_xlfn.IFS(T812&lt;1,"underpaid",T812&gt;1,"overpaid",T812=1,"median pay")</f>
        <v>overpaid</v>
      </c>
      <c r="V812" s="5"/>
    </row>
    <row r="813" spans="1:22" x14ac:dyDescent="0.3">
      <c r="A813" s="22" t="s">
        <v>824</v>
      </c>
      <c r="B813" s="12" t="s">
        <v>1823</v>
      </c>
      <c r="C813" s="12" t="s">
        <v>2014</v>
      </c>
      <c r="D813" s="13">
        <v>45587</v>
      </c>
      <c r="E813" s="14">
        <f t="shared" si="120"/>
        <v>924168</v>
      </c>
      <c r="F813" s="12">
        <v>68381</v>
      </c>
      <c r="G813" s="12">
        <v>8633</v>
      </c>
      <c r="H813" s="15">
        <f t="shared" si="121"/>
        <v>34190.5</v>
      </c>
      <c r="I813" s="15">
        <f t="shared" si="122"/>
        <v>13676.2</v>
      </c>
      <c r="J813" s="15">
        <f t="shared" si="123"/>
        <v>20514.300000000003</v>
      </c>
      <c r="K813" s="15">
        <f t="shared" si="124"/>
        <v>4102.8599999999997</v>
      </c>
      <c r="L813" s="12">
        <v>200</v>
      </c>
      <c r="M813" s="12">
        <f t="shared" si="125"/>
        <v>208</v>
      </c>
      <c r="N813" s="15">
        <v>1</v>
      </c>
      <c r="O813" s="15">
        <f t="shared" si="126"/>
        <v>164.37740384615384</v>
      </c>
      <c r="P813" s="15">
        <f t="shared" si="127"/>
        <v>328.75480769230768</v>
      </c>
      <c r="Q813" s="15">
        <f t="shared" si="128"/>
        <v>328.75480769230768</v>
      </c>
      <c r="R813" s="12">
        <v>73851</v>
      </c>
      <c r="S813" s="15">
        <f t="shared" si="129"/>
        <v>82484</v>
      </c>
      <c r="T813" s="20">
        <f>S813/median_percentile!$B$1</f>
        <v>1.6366360109923908</v>
      </c>
      <c r="U813" s="24" t="str" cm="1">
        <f t="array" ref="U813">_xlfn.IFS(T813&lt;1,"underpaid",T813&gt;1,"overpaid",T813=1,"median pay")</f>
        <v>overpaid</v>
      </c>
      <c r="V813" s="5"/>
    </row>
    <row r="814" spans="1:22" x14ac:dyDescent="0.3">
      <c r="A814" s="21" t="s">
        <v>825</v>
      </c>
      <c r="B814" s="8" t="s">
        <v>1824</v>
      </c>
      <c r="C814" s="8" t="s">
        <v>2016</v>
      </c>
      <c r="D814" s="9">
        <v>45141</v>
      </c>
      <c r="E814" s="10">
        <f t="shared" si="120"/>
        <v>397152</v>
      </c>
      <c r="F814" s="8">
        <v>27982</v>
      </c>
      <c r="G814" s="8">
        <v>5114</v>
      </c>
      <c r="H814" s="11">
        <f t="shared" si="121"/>
        <v>13991</v>
      </c>
      <c r="I814" s="11">
        <f t="shared" si="122"/>
        <v>5596.4000000000005</v>
      </c>
      <c r="J814" s="11">
        <f t="shared" si="123"/>
        <v>8394.5999999999985</v>
      </c>
      <c r="K814" s="11">
        <f t="shared" si="124"/>
        <v>1678.9199999999998</v>
      </c>
      <c r="L814" s="8">
        <v>200</v>
      </c>
      <c r="M814" s="8">
        <f t="shared" si="125"/>
        <v>208</v>
      </c>
      <c r="N814" s="11">
        <v>0</v>
      </c>
      <c r="O814" s="11">
        <f t="shared" si="126"/>
        <v>67.26442307692308</v>
      </c>
      <c r="P814" s="11">
        <f t="shared" si="127"/>
        <v>134.52884615384616</v>
      </c>
      <c r="Q814" s="11">
        <f t="shared" si="128"/>
        <v>0</v>
      </c>
      <c r="R814" s="8">
        <v>31451</v>
      </c>
      <c r="S814" s="11">
        <f t="shared" si="129"/>
        <v>36565</v>
      </c>
      <c r="T814" s="20">
        <f>S814/median_percentile!$B$1</f>
        <v>0.72551762453247615</v>
      </c>
      <c r="U814" s="24" t="str" cm="1">
        <f t="array" ref="U814">_xlfn.IFS(T814&lt;1,"underpaid",T814&gt;1,"overpaid",T814=1,"median pay")</f>
        <v>underpaid</v>
      </c>
      <c r="V814" s="5"/>
    </row>
    <row r="815" spans="1:22" x14ac:dyDescent="0.3">
      <c r="A815" s="22" t="s">
        <v>826</v>
      </c>
      <c r="B815" s="12" t="s">
        <v>1825</v>
      </c>
      <c r="C815" s="12" t="s">
        <v>2013</v>
      </c>
      <c r="D815" s="13">
        <v>45871</v>
      </c>
      <c r="E815" s="14">
        <f t="shared" si="120"/>
        <v>899412</v>
      </c>
      <c r="F815" s="12">
        <v>62534</v>
      </c>
      <c r="G815" s="12">
        <v>12417</v>
      </c>
      <c r="H815" s="15">
        <f t="shared" si="121"/>
        <v>31267</v>
      </c>
      <c r="I815" s="15">
        <f t="shared" si="122"/>
        <v>12506.800000000001</v>
      </c>
      <c r="J815" s="15">
        <f t="shared" si="123"/>
        <v>18760.199999999997</v>
      </c>
      <c r="K815" s="15">
        <f t="shared" si="124"/>
        <v>3752.04</v>
      </c>
      <c r="L815" s="12">
        <v>200</v>
      </c>
      <c r="M815" s="12">
        <f t="shared" si="125"/>
        <v>208</v>
      </c>
      <c r="N815" s="15">
        <v>5</v>
      </c>
      <c r="O815" s="15">
        <f t="shared" si="126"/>
        <v>150.32211538461539</v>
      </c>
      <c r="P815" s="15">
        <f t="shared" si="127"/>
        <v>300.64423076923077</v>
      </c>
      <c r="Q815" s="15">
        <f t="shared" si="128"/>
        <v>1503.2211538461538</v>
      </c>
      <c r="R815" s="12">
        <v>71520</v>
      </c>
      <c r="S815" s="15">
        <f t="shared" si="129"/>
        <v>83937</v>
      </c>
      <c r="T815" s="20">
        <f>S815/median_percentile!$B$1</f>
        <v>1.6654662341141104</v>
      </c>
      <c r="U815" s="24" t="str" cm="1">
        <f t="array" ref="U815">_xlfn.IFS(T815&lt;1,"underpaid",T815&gt;1,"overpaid",T815=1,"median pay")</f>
        <v>overpaid</v>
      </c>
      <c r="V815" s="5"/>
    </row>
    <row r="816" spans="1:22" x14ac:dyDescent="0.3">
      <c r="A816" s="21" t="s">
        <v>827</v>
      </c>
      <c r="B816" s="8" t="s">
        <v>1826</v>
      </c>
      <c r="C816" s="8" t="s">
        <v>2011</v>
      </c>
      <c r="D816" s="9">
        <v>45058</v>
      </c>
      <c r="E816" s="10">
        <f t="shared" si="120"/>
        <v>340380</v>
      </c>
      <c r="F816" s="8">
        <v>25198</v>
      </c>
      <c r="G816" s="8">
        <v>3167</v>
      </c>
      <c r="H816" s="11">
        <f t="shared" si="121"/>
        <v>12599</v>
      </c>
      <c r="I816" s="11">
        <f t="shared" si="122"/>
        <v>5039.6000000000004</v>
      </c>
      <c r="J816" s="11">
        <f t="shared" si="123"/>
        <v>7559.4000000000015</v>
      </c>
      <c r="K816" s="11">
        <f t="shared" si="124"/>
        <v>1511.8799999999999</v>
      </c>
      <c r="L816" s="8">
        <v>200</v>
      </c>
      <c r="M816" s="8">
        <f t="shared" si="125"/>
        <v>208</v>
      </c>
      <c r="N816" s="11">
        <v>4</v>
      </c>
      <c r="O816" s="11">
        <f t="shared" si="126"/>
        <v>60.572115384615387</v>
      </c>
      <c r="P816" s="11">
        <f t="shared" si="127"/>
        <v>121.14423076923077</v>
      </c>
      <c r="Q816" s="11">
        <f t="shared" si="128"/>
        <v>484.57692307692309</v>
      </c>
      <c r="R816" s="8">
        <v>27073</v>
      </c>
      <c r="S816" s="11">
        <f t="shared" si="129"/>
        <v>30240</v>
      </c>
      <c r="T816" s="20">
        <f>S816/median_percentile!$B$1</f>
        <v>0.60001785767433558</v>
      </c>
      <c r="U816" s="24" t="str" cm="1">
        <f t="array" ref="U816">_xlfn.IFS(T816&lt;1,"underpaid",T816&gt;1,"overpaid",T816=1,"median pay")</f>
        <v>underpaid</v>
      </c>
      <c r="V816" s="5"/>
    </row>
    <row r="817" spans="1:22" x14ac:dyDescent="0.3">
      <c r="A817" s="22" t="s">
        <v>828</v>
      </c>
      <c r="B817" s="12" t="s">
        <v>1827</v>
      </c>
      <c r="C817" s="12" t="s">
        <v>2014</v>
      </c>
      <c r="D817" s="13">
        <v>45250</v>
      </c>
      <c r="E817" s="14">
        <f t="shared" si="120"/>
        <v>692184</v>
      </c>
      <c r="F817" s="12">
        <v>52112</v>
      </c>
      <c r="G817" s="12">
        <v>5570</v>
      </c>
      <c r="H817" s="15">
        <f t="shared" si="121"/>
        <v>26056</v>
      </c>
      <c r="I817" s="15">
        <f t="shared" si="122"/>
        <v>10422.400000000001</v>
      </c>
      <c r="J817" s="15">
        <f t="shared" si="123"/>
        <v>15633.599999999999</v>
      </c>
      <c r="K817" s="15">
        <f t="shared" si="124"/>
        <v>3126.72</v>
      </c>
      <c r="L817" s="12">
        <v>200</v>
      </c>
      <c r="M817" s="12">
        <f t="shared" si="125"/>
        <v>208</v>
      </c>
      <c r="N817" s="15">
        <v>0</v>
      </c>
      <c r="O817" s="15">
        <f t="shared" si="126"/>
        <v>125.26923076923077</v>
      </c>
      <c r="P817" s="15">
        <f t="shared" si="127"/>
        <v>250.53846153846155</v>
      </c>
      <c r="Q817" s="15">
        <f t="shared" si="128"/>
        <v>0</v>
      </c>
      <c r="R817" s="12">
        <v>55224</v>
      </c>
      <c r="S817" s="15">
        <f t="shared" si="129"/>
        <v>60794</v>
      </c>
      <c r="T817" s="20">
        <f>S817/median_percentile!$B$1</f>
        <v>1.2062660595057393</v>
      </c>
      <c r="U817" s="24" t="str" cm="1">
        <f t="array" ref="U817">_xlfn.IFS(T817&lt;1,"underpaid",T817&gt;1,"overpaid",T817=1,"median pay")</f>
        <v>overpaid</v>
      </c>
      <c r="V817" s="5"/>
    </row>
    <row r="818" spans="1:22" x14ac:dyDescent="0.3">
      <c r="A818" s="21" t="s">
        <v>829</v>
      </c>
      <c r="B818" s="8" t="s">
        <v>1828</v>
      </c>
      <c r="C818" s="8" t="s">
        <v>2012</v>
      </c>
      <c r="D818" s="9">
        <v>43469</v>
      </c>
      <c r="E818" s="10">
        <f t="shared" si="120"/>
        <v>512820</v>
      </c>
      <c r="F818" s="8">
        <v>36268</v>
      </c>
      <c r="G818" s="8">
        <v>6467</v>
      </c>
      <c r="H818" s="11">
        <f t="shared" si="121"/>
        <v>18134</v>
      </c>
      <c r="I818" s="11">
        <f t="shared" si="122"/>
        <v>7253.6</v>
      </c>
      <c r="J818" s="11">
        <f t="shared" si="123"/>
        <v>10880.400000000001</v>
      </c>
      <c r="K818" s="11">
        <f t="shared" si="124"/>
        <v>2176.08</v>
      </c>
      <c r="L818" s="8">
        <v>200</v>
      </c>
      <c r="M818" s="8">
        <f t="shared" si="125"/>
        <v>208</v>
      </c>
      <c r="N818" s="11">
        <v>5</v>
      </c>
      <c r="O818" s="11">
        <f t="shared" si="126"/>
        <v>87.182692307692307</v>
      </c>
      <c r="P818" s="11">
        <f t="shared" si="127"/>
        <v>174.36538461538461</v>
      </c>
      <c r="Q818" s="11">
        <f t="shared" si="128"/>
        <v>871.82692307692309</v>
      </c>
      <c r="R818" s="8">
        <v>40359</v>
      </c>
      <c r="S818" s="11">
        <f t="shared" si="129"/>
        <v>46826</v>
      </c>
      <c r="T818" s="20">
        <f>S818/median_percentile!$B$1</f>
        <v>0.92911495381806997</v>
      </c>
      <c r="U818" s="24" t="str" cm="1">
        <f t="array" ref="U818">_xlfn.IFS(T818&lt;1,"underpaid",T818&gt;1,"overpaid",T818=1,"median pay")</f>
        <v>underpaid</v>
      </c>
      <c r="V818" s="5"/>
    </row>
    <row r="819" spans="1:22" x14ac:dyDescent="0.3">
      <c r="A819" s="22" t="s">
        <v>830</v>
      </c>
      <c r="B819" s="12" t="s">
        <v>1829</v>
      </c>
      <c r="C819" s="12" t="s">
        <v>2013</v>
      </c>
      <c r="D819" s="13">
        <v>44489</v>
      </c>
      <c r="E819" s="14">
        <f t="shared" si="120"/>
        <v>789300</v>
      </c>
      <c r="F819" s="12">
        <v>59606</v>
      </c>
      <c r="G819" s="12">
        <v>6169</v>
      </c>
      <c r="H819" s="15">
        <f t="shared" si="121"/>
        <v>29803</v>
      </c>
      <c r="I819" s="15">
        <f t="shared" si="122"/>
        <v>11921.2</v>
      </c>
      <c r="J819" s="15">
        <f t="shared" si="123"/>
        <v>17881.800000000003</v>
      </c>
      <c r="K819" s="15">
        <f t="shared" si="124"/>
        <v>3576.3599999999997</v>
      </c>
      <c r="L819" s="12">
        <v>200</v>
      </c>
      <c r="M819" s="12">
        <f t="shared" si="125"/>
        <v>208</v>
      </c>
      <c r="N819" s="15">
        <v>3</v>
      </c>
      <c r="O819" s="15">
        <f t="shared" si="126"/>
        <v>143.28365384615384</v>
      </c>
      <c r="P819" s="15">
        <f t="shared" si="127"/>
        <v>286.56730769230768</v>
      </c>
      <c r="Q819" s="15">
        <f t="shared" si="128"/>
        <v>859.70192307692309</v>
      </c>
      <c r="R819" s="12">
        <v>61999</v>
      </c>
      <c r="S819" s="15">
        <f t="shared" si="129"/>
        <v>68168</v>
      </c>
      <c r="T819" s="20">
        <f>S819/median_percentile!$B$1</f>
        <v>1.352579937894977</v>
      </c>
      <c r="U819" s="24" t="str" cm="1">
        <f t="array" ref="U819">_xlfn.IFS(T819&lt;1,"underpaid",T819&gt;1,"overpaid",T819=1,"median pay")</f>
        <v>overpaid</v>
      </c>
      <c r="V819" s="5"/>
    </row>
    <row r="820" spans="1:22" x14ac:dyDescent="0.3">
      <c r="A820" s="21" t="s">
        <v>831</v>
      </c>
      <c r="B820" s="8" t="s">
        <v>1830</v>
      </c>
      <c r="C820" s="8" t="s">
        <v>2011</v>
      </c>
      <c r="D820" s="9">
        <v>44270</v>
      </c>
      <c r="E820" s="10">
        <f t="shared" si="120"/>
        <v>468564</v>
      </c>
      <c r="F820" s="8">
        <v>33277</v>
      </c>
      <c r="G820" s="8">
        <v>5770</v>
      </c>
      <c r="H820" s="11">
        <f t="shared" si="121"/>
        <v>16638.5</v>
      </c>
      <c r="I820" s="11">
        <f t="shared" si="122"/>
        <v>6655.4000000000005</v>
      </c>
      <c r="J820" s="11">
        <f t="shared" si="123"/>
        <v>9983.0999999999985</v>
      </c>
      <c r="K820" s="11">
        <f t="shared" si="124"/>
        <v>1996.62</v>
      </c>
      <c r="L820" s="8">
        <v>200</v>
      </c>
      <c r="M820" s="8">
        <f t="shared" si="125"/>
        <v>208</v>
      </c>
      <c r="N820" s="11">
        <v>4</v>
      </c>
      <c r="O820" s="11">
        <f t="shared" si="126"/>
        <v>79.992788461538467</v>
      </c>
      <c r="P820" s="11">
        <f t="shared" si="127"/>
        <v>159.98557692307693</v>
      </c>
      <c r="Q820" s="11">
        <f t="shared" si="128"/>
        <v>639.94230769230774</v>
      </c>
      <c r="R820" s="8">
        <v>37128</v>
      </c>
      <c r="S820" s="11">
        <f t="shared" si="129"/>
        <v>42898</v>
      </c>
      <c r="T820" s="20">
        <f>S820/median_percentile!$B$1</f>
        <v>0.8511761262735994</v>
      </c>
      <c r="U820" s="24" t="str" cm="1">
        <f t="array" ref="U820">_xlfn.IFS(T820&lt;1,"underpaid",T820&gt;1,"overpaid",T820=1,"median pay")</f>
        <v>underpaid</v>
      </c>
      <c r="V820" s="5"/>
    </row>
    <row r="821" spans="1:22" x14ac:dyDescent="0.3">
      <c r="A821" s="22" t="s">
        <v>832</v>
      </c>
      <c r="B821" s="12" t="s">
        <v>1831</v>
      </c>
      <c r="C821" s="12" t="s">
        <v>2012</v>
      </c>
      <c r="D821" s="13">
        <v>44531</v>
      </c>
      <c r="E821" s="14">
        <f t="shared" si="120"/>
        <v>351384</v>
      </c>
      <c r="F821" s="12">
        <v>25350</v>
      </c>
      <c r="G821" s="12">
        <v>3932</v>
      </c>
      <c r="H821" s="15">
        <f t="shared" si="121"/>
        <v>12675</v>
      </c>
      <c r="I821" s="15">
        <f t="shared" si="122"/>
        <v>5070</v>
      </c>
      <c r="J821" s="15">
        <f t="shared" si="123"/>
        <v>7605</v>
      </c>
      <c r="K821" s="15">
        <f t="shared" si="124"/>
        <v>1521</v>
      </c>
      <c r="L821" s="12">
        <v>200</v>
      </c>
      <c r="M821" s="12">
        <f t="shared" si="125"/>
        <v>208</v>
      </c>
      <c r="N821" s="15">
        <v>3</v>
      </c>
      <c r="O821" s="15">
        <f t="shared" si="126"/>
        <v>60.9375</v>
      </c>
      <c r="P821" s="15">
        <f t="shared" si="127"/>
        <v>121.875</v>
      </c>
      <c r="Q821" s="15">
        <f t="shared" si="128"/>
        <v>365.625</v>
      </c>
      <c r="R821" s="12">
        <v>27983</v>
      </c>
      <c r="S821" s="15">
        <f t="shared" si="129"/>
        <v>31915</v>
      </c>
      <c r="T821" s="20">
        <f>S821/median_percentile!$B$1</f>
        <v>0.63325297379882339</v>
      </c>
      <c r="U821" s="24" t="str" cm="1">
        <f t="array" ref="U821">_xlfn.IFS(T821&lt;1,"underpaid",T821&gt;1,"overpaid",T821=1,"median pay")</f>
        <v>underpaid</v>
      </c>
      <c r="V821" s="5"/>
    </row>
    <row r="822" spans="1:22" x14ac:dyDescent="0.3">
      <c r="A822" s="21" t="s">
        <v>833</v>
      </c>
      <c r="B822" s="8" t="s">
        <v>1832</v>
      </c>
      <c r="C822" s="8" t="s">
        <v>2012</v>
      </c>
      <c r="D822" s="9">
        <v>44702</v>
      </c>
      <c r="E822" s="10">
        <f t="shared" si="120"/>
        <v>434748</v>
      </c>
      <c r="F822" s="8">
        <v>32054</v>
      </c>
      <c r="G822" s="8">
        <v>4175</v>
      </c>
      <c r="H822" s="11">
        <f t="shared" si="121"/>
        <v>16027</v>
      </c>
      <c r="I822" s="11">
        <f t="shared" si="122"/>
        <v>6410.8</v>
      </c>
      <c r="J822" s="11">
        <f t="shared" si="123"/>
        <v>9616.2000000000007</v>
      </c>
      <c r="K822" s="11">
        <f t="shared" si="124"/>
        <v>1923.24</v>
      </c>
      <c r="L822" s="8">
        <v>200</v>
      </c>
      <c r="M822" s="8">
        <f t="shared" si="125"/>
        <v>208</v>
      </c>
      <c r="N822" s="11">
        <v>5</v>
      </c>
      <c r="O822" s="11">
        <f t="shared" si="126"/>
        <v>77.052884615384613</v>
      </c>
      <c r="P822" s="11">
        <f t="shared" si="127"/>
        <v>154.10576923076923</v>
      </c>
      <c r="Q822" s="11">
        <f t="shared" si="128"/>
        <v>770.52884615384619</v>
      </c>
      <c r="R822" s="8">
        <v>34373</v>
      </c>
      <c r="S822" s="11">
        <f t="shared" si="129"/>
        <v>38548</v>
      </c>
      <c r="T822" s="20">
        <f>S822/median_percentile!$B$1</f>
        <v>0.76486403365179523</v>
      </c>
      <c r="U822" s="24" t="str" cm="1">
        <f t="array" ref="U822">_xlfn.IFS(T822&lt;1,"underpaid",T822&gt;1,"overpaid",T822=1,"median pay")</f>
        <v>underpaid</v>
      </c>
      <c r="V822" s="5"/>
    </row>
    <row r="823" spans="1:22" x14ac:dyDescent="0.3">
      <c r="A823" s="22" t="s">
        <v>834</v>
      </c>
      <c r="B823" s="12" t="s">
        <v>1833</v>
      </c>
      <c r="C823" s="12" t="s">
        <v>2013</v>
      </c>
      <c r="D823" s="13">
        <v>44601</v>
      </c>
      <c r="E823" s="14">
        <f t="shared" si="120"/>
        <v>636600</v>
      </c>
      <c r="F823" s="12">
        <v>45783</v>
      </c>
      <c r="G823" s="12">
        <v>7267</v>
      </c>
      <c r="H823" s="15">
        <f t="shared" si="121"/>
        <v>22891.5</v>
      </c>
      <c r="I823" s="15">
        <f t="shared" si="122"/>
        <v>9156.6</v>
      </c>
      <c r="J823" s="15">
        <f t="shared" si="123"/>
        <v>13734.900000000001</v>
      </c>
      <c r="K823" s="15">
        <f t="shared" si="124"/>
        <v>2746.98</v>
      </c>
      <c r="L823" s="12">
        <v>200</v>
      </c>
      <c r="M823" s="12">
        <f t="shared" si="125"/>
        <v>208</v>
      </c>
      <c r="N823" s="15">
        <v>1</v>
      </c>
      <c r="O823" s="15">
        <f t="shared" si="126"/>
        <v>110.05528846153847</v>
      </c>
      <c r="P823" s="15">
        <f t="shared" si="127"/>
        <v>220.11057692307693</v>
      </c>
      <c r="Q823" s="15">
        <f t="shared" si="128"/>
        <v>220.11057692307693</v>
      </c>
      <c r="R823" s="12">
        <v>50104</v>
      </c>
      <c r="S823" s="15">
        <f t="shared" si="129"/>
        <v>57371</v>
      </c>
      <c r="T823" s="20">
        <f>S823/median_percentile!$B$1</f>
        <v>1.1383473714495471</v>
      </c>
      <c r="U823" s="24" t="str" cm="1">
        <f t="array" ref="U823">_xlfn.IFS(T823&lt;1,"underpaid",T823&gt;1,"overpaid",T823=1,"median pay")</f>
        <v>overpaid</v>
      </c>
      <c r="V823" s="5"/>
    </row>
    <row r="824" spans="1:22" x14ac:dyDescent="0.3">
      <c r="A824" s="21" t="s">
        <v>835</v>
      </c>
      <c r="B824" s="8" t="s">
        <v>1834</v>
      </c>
      <c r="C824" s="8" t="s">
        <v>2015</v>
      </c>
      <c r="D824" s="9">
        <v>45222</v>
      </c>
      <c r="E824" s="10">
        <f t="shared" si="120"/>
        <v>561840</v>
      </c>
      <c r="F824" s="8">
        <v>42171</v>
      </c>
      <c r="G824" s="8">
        <v>4649</v>
      </c>
      <c r="H824" s="11">
        <f t="shared" si="121"/>
        <v>21085.5</v>
      </c>
      <c r="I824" s="11">
        <f t="shared" si="122"/>
        <v>8434.2000000000007</v>
      </c>
      <c r="J824" s="11">
        <f t="shared" si="123"/>
        <v>12651.3</v>
      </c>
      <c r="K824" s="11">
        <f t="shared" si="124"/>
        <v>2530.2599999999998</v>
      </c>
      <c r="L824" s="8">
        <v>200</v>
      </c>
      <c r="M824" s="8">
        <f t="shared" si="125"/>
        <v>208</v>
      </c>
      <c r="N824" s="11">
        <v>3</v>
      </c>
      <c r="O824" s="11">
        <f t="shared" si="126"/>
        <v>101.37259615384616</v>
      </c>
      <c r="P824" s="11">
        <f t="shared" si="127"/>
        <v>202.74519230769232</v>
      </c>
      <c r="Q824" s="11">
        <f t="shared" si="128"/>
        <v>608.23557692307691</v>
      </c>
      <c r="R824" s="8">
        <v>44090</v>
      </c>
      <c r="S824" s="11">
        <f t="shared" si="129"/>
        <v>48739</v>
      </c>
      <c r="T824" s="20">
        <f>S824/median_percentile!$B$1</f>
        <v>0.96707243271129106</v>
      </c>
      <c r="U824" s="24" t="str" cm="1">
        <f t="array" ref="U824">_xlfn.IFS(T824&lt;1,"underpaid",T824&gt;1,"overpaid",T824=1,"median pay")</f>
        <v>underpaid</v>
      </c>
      <c r="V824" s="5"/>
    </row>
    <row r="825" spans="1:22" x14ac:dyDescent="0.3">
      <c r="A825" s="22" t="s">
        <v>836</v>
      </c>
      <c r="B825" s="12" t="s">
        <v>1835</v>
      </c>
      <c r="C825" s="12" t="s">
        <v>2013</v>
      </c>
      <c r="D825" s="13">
        <v>45989</v>
      </c>
      <c r="E825" s="14">
        <f t="shared" si="120"/>
        <v>482208</v>
      </c>
      <c r="F825" s="12">
        <v>34246</v>
      </c>
      <c r="G825" s="12">
        <v>5938</v>
      </c>
      <c r="H825" s="15">
        <f t="shared" si="121"/>
        <v>17123</v>
      </c>
      <c r="I825" s="15">
        <f t="shared" si="122"/>
        <v>6849.2000000000007</v>
      </c>
      <c r="J825" s="15">
        <f t="shared" si="123"/>
        <v>10273.799999999999</v>
      </c>
      <c r="K825" s="15">
        <f t="shared" si="124"/>
        <v>2054.7599999999998</v>
      </c>
      <c r="L825" s="12">
        <v>200</v>
      </c>
      <c r="M825" s="12">
        <f t="shared" si="125"/>
        <v>208</v>
      </c>
      <c r="N825" s="15">
        <v>1</v>
      </c>
      <c r="O825" s="15">
        <f t="shared" si="126"/>
        <v>82.322115384615387</v>
      </c>
      <c r="P825" s="15">
        <f t="shared" si="127"/>
        <v>164.64423076923077</v>
      </c>
      <c r="Q825" s="15">
        <f t="shared" si="128"/>
        <v>164.64423076923077</v>
      </c>
      <c r="R825" s="12">
        <v>38215</v>
      </c>
      <c r="S825" s="15">
        <f t="shared" si="129"/>
        <v>44153</v>
      </c>
      <c r="T825" s="20">
        <f>S825/median_percentile!$B$1</f>
        <v>0.8760776610414992</v>
      </c>
      <c r="U825" s="24" t="str" cm="1">
        <f t="array" ref="U825">_xlfn.IFS(T825&lt;1,"underpaid",T825&gt;1,"overpaid",T825=1,"median pay")</f>
        <v>underpaid</v>
      </c>
      <c r="V825" s="5"/>
    </row>
    <row r="826" spans="1:22" x14ac:dyDescent="0.3">
      <c r="A826" s="21" t="s">
        <v>837</v>
      </c>
      <c r="B826" s="8" t="s">
        <v>1836</v>
      </c>
      <c r="C826" s="8" t="s">
        <v>2011</v>
      </c>
      <c r="D826" s="9">
        <v>43684</v>
      </c>
      <c r="E826" s="10">
        <f t="shared" si="120"/>
        <v>345948</v>
      </c>
      <c r="F826" s="8">
        <v>24551</v>
      </c>
      <c r="G826" s="8">
        <v>4278</v>
      </c>
      <c r="H826" s="11">
        <f t="shared" si="121"/>
        <v>12275.5</v>
      </c>
      <c r="I826" s="11">
        <f t="shared" si="122"/>
        <v>4910.2</v>
      </c>
      <c r="J826" s="11">
        <f t="shared" si="123"/>
        <v>7365.2999999999993</v>
      </c>
      <c r="K826" s="11">
        <f t="shared" si="124"/>
        <v>1473.06</v>
      </c>
      <c r="L826" s="8">
        <v>200</v>
      </c>
      <c r="M826" s="8">
        <f t="shared" si="125"/>
        <v>208</v>
      </c>
      <c r="N826" s="11">
        <v>2</v>
      </c>
      <c r="O826" s="11">
        <f t="shared" si="126"/>
        <v>59.01682692307692</v>
      </c>
      <c r="P826" s="11">
        <f t="shared" si="127"/>
        <v>118.03365384615384</v>
      </c>
      <c r="Q826" s="11">
        <f t="shared" si="128"/>
        <v>236.06730769230768</v>
      </c>
      <c r="R826" s="8">
        <v>27360</v>
      </c>
      <c r="S826" s="11">
        <f t="shared" si="129"/>
        <v>31638</v>
      </c>
      <c r="T826" s="20">
        <f>S826/median_percentile!$B$1</f>
        <v>0.62775677847554989</v>
      </c>
      <c r="U826" s="24" t="str" cm="1">
        <f t="array" ref="U826">_xlfn.IFS(T826&lt;1,"underpaid",T826&gt;1,"overpaid",T826=1,"median pay")</f>
        <v>underpaid</v>
      </c>
      <c r="V826" s="5"/>
    </row>
    <row r="827" spans="1:22" x14ac:dyDescent="0.3">
      <c r="A827" s="22" t="s">
        <v>838</v>
      </c>
      <c r="B827" s="12" t="s">
        <v>1837</v>
      </c>
      <c r="C827" s="12" t="s">
        <v>2013</v>
      </c>
      <c r="D827" s="13">
        <v>43883</v>
      </c>
      <c r="E827" s="14">
        <f t="shared" si="120"/>
        <v>625068</v>
      </c>
      <c r="F827" s="12">
        <v>47225</v>
      </c>
      <c r="G827" s="12">
        <v>4864</v>
      </c>
      <c r="H827" s="15">
        <f t="shared" si="121"/>
        <v>23612.5</v>
      </c>
      <c r="I827" s="15">
        <f t="shared" si="122"/>
        <v>9445</v>
      </c>
      <c r="J827" s="15">
        <f t="shared" si="123"/>
        <v>14167.5</v>
      </c>
      <c r="K827" s="15">
        <f t="shared" si="124"/>
        <v>2833.5</v>
      </c>
      <c r="L827" s="12">
        <v>200</v>
      </c>
      <c r="M827" s="12">
        <f t="shared" si="125"/>
        <v>208</v>
      </c>
      <c r="N827" s="15">
        <v>2</v>
      </c>
      <c r="O827" s="15">
        <f t="shared" si="126"/>
        <v>113.52163461538461</v>
      </c>
      <c r="P827" s="15">
        <f t="shared" si="127"/>
        <v>227.04326923076923</v>
      </c>
      <c r="Q827" s="15">
        <f t="shared" si="128"/>
        <v>454.08653846153845</v>
      </c>
      <c r="R827" s="12">
        <v>49056</v>
      </c>
      <c r="S827" s="15">
        <f t="shared" si="129"/>
        <v>53920</v>
      </c>
      <c r="T827" s="20">
        <f>S827/median_percentile!$B$1</f>
        <v>1.0698731113029158</v>
      </c>
      <c r="U827" s="24" t="str" cm="1">
        <f t="array" ref="U827">_xlfn.IFS(T827&lt;1,"underpaid",T827&gt;1,"overpaid",T827=1,"median pay")</f>
        <v>overpaid</v>
      </c>
      <c r="V827" s="5"/>
    </row>
    <row r="828" spans="1:22" x14ac:dyDescent="0.3">
      <c r="A828" s="21" t="s">
        <v>839</v>
      </c>
      <c r="B828" s="8" t="s">
        <v>1838</v>
      </c>
      <c r="C828" s="8" t="s">
        <v>2011</v>
      </c>
      <c r="D828" s="9">
        <v>43741</v>
      </c>
      <c r="E828" s="10">
        <f t="shared" si="120"/>
        <v>555648</v>
      </c>
      <c r="F828" s="8">
        <v>40040</v>
      </c>
      <c r="G828" s="8">
        <v>6264</v>
      </c>
      <c r="H828" s="11">
        <f t="shared" si="121"/>
        <v>20020</v>
      </c>
      <c r="I828" s="11">
        <f t="shared" si="122"/>
        <v>8008</v>
      </c>
      <c r="J828" s="11">
        <f t="shared" si="123"/>
        <v>12012</v>
      </c>
      <c r="K828" s="11">
        <f t="shared" si="124"/>
        <v>2402.4</v>
      </c>
      <c r="L828" s="8">
        <v>200</v>
      </c>
      <c r="M828" s="8">
        <f t="shared" si="125"/>
        <v>208</v>
      </c>
      <c r="N828" s="11">
        <v>0</v>
      </c>
      <c r="O828" s="11">
        <f t="shared" si="126"/>
        <v>96.25</v>
      </c>
      <c r="P828" s="11">
        <f t="shared" si="127"/>
        <v>192.5</v>
      </c>
      <c r="Q828" s="11">
        <f t="shared" si="128"/>
        <v>0</v>
      </c>
      <c r="R828" s="8">
        <v>44035</v>
      </c>
      <c r="S828" s="11">
        <f t="shared" si="129"/>
        <v>50299</v>
      </c>
      <c r="T828" s="20">
        <f>S828/median_percentile!$B$1</f>
        <v>0.99802573489290358</v>
      </c>
      <c r="U828" s="24" t="str" cm="1">
        <f t="array" ref="U828">_xlfn.IFS(T828&lt;1,"underpaid",T828&gt;1,"overpaid",T828=1,"median pay")</f>
        <v>underpaid</v>
      </c>
      <c r="V828" s="5"/>
    </row>
    <row r="829" spans="1:22" x14ac:dyDescent="0.3">
      <c r="A829" s="22" t="s">
        <v>840</v>
      </c>
      <c r="B829" s="12" t="s">
        <v>1839</v>
      </c>
      <c r="C829" s="12" t="s">
        <v>2015</v>
      </c>
      <c r="D829" s="13">
        <v>45532</v>
      </c>
      <c r="E829" s="14">
        <f t="shared" si="120"/>
        <v>362088</v>
      </c>
      <c r="F829" s="12">
        <v>25998</v>
      </c>
      <c r="G829" s="12">
        <v>4176</v>
      </c>
      <c r="H829" s="15">
        <f t="shared" si="121"/>
        <v>12999</v>
      </c>
      <c r="I829" s="15">
        <f t="shared" si="122"/>
        <v>5199.6000000000004</v>
      </c>
      <c r="J829" s="15">
        <f t="shared" si="123"/>
        <v>7799.4000000000015</v>
      </c>
      <c r="K829" s="15">
        <f t="shared" si="124"/>
        <v>1559.8799999999999</v>
      </c>
      <c r="L829" s="12">
        <v>200</v>
      </c>
      <c r="M829" s="12">
        <f t="shared" si="125"/>
        <v>208</v>
      </c>
      <c r="N829" s="15">
        <v>4</v>
      </c>
      <c r="O829" s="15">
        <f t="shared" si="126"/>
        <v>62.495192307692307</v>
      </c>
      <c r="P829" s="15">
        <f t="shared" si="127"/>
        <v>124.99038461538461</v>
      </c>
      <c r="Q829" s="15">
        <f t="shared" si="128"/>
        <v>499.96153846153845</v>
      </c>
      <c r="R829" s="12">
        <v>28631</v>
      </c>
      <c r="S829" s="15">
        <f t="shared" si="129"/>
        <v>32807</v>
      </c>
      <c r="T829" s="20">
        <f>S829/median_percentile!$B$1</f>
        <v>0.65095191325138646</v>
      </c>
      <c r="U829" s="24" t="str" cm="1">
        <f t="array" ref="U829">_xlfn.IFS(T829&lt;1,"underpaid",T829&gt;1,"overpaid",T829=1,"median pay")</f>
        <v>underpaid</v>
      </c>
      <c r="V829" s="5"/>
    </row>
    <row r="830" spans="1:22" x14ac:dyDescent="0.3">
      <c r="A830" s="21" t="s">
        <v>841</v>
      </c>
      <c r="B830" s="8" t="s">
        <v>1840</v>
      </c>
      <c r="C830" s="8" t="s">
        <v>2011</v>
      </c>
      <c r="D830" s="9">
        <v>45147</v>
      </c>
      <c r="E830" s="10">
        <f t="shared" si="120"/>
        <v>481272</v>
      </c>
      <c r="F830" s="8">
        <v>35105</v>
      </c>
      <c r="G830" s="8">
        <v>5001</v>
      </c>
      <c r="H830" s="11">
        <f t="shared" si="121"/>
        <v>17552.5</v>
      </c>
      <c r="I830" s="11">
        <f t="shared" si="122"/>
        <v>7021</v>
      </c>
      <c r="J830" s="11">
        <f t="shared" si="123"/>
        <v>10531.5</v>
      </c>
      <c r="K830" s="11">
        <f t="shared" si="124"/>
        <v>2106.2999999999997</v>
      </c>
      <c r="L830" s="8">
        <v>200</v>
      </c>
      <c r="M830" s="8">
        <f t="shared" si="125"/>
        <v>208</v>
      </c>
      <c r="N830" s="11">
        <v>3</v>
      </c>
      <c r="O830" s="11">
        <f t="shared" si="126"/>
        <v>84.387019230769226</v>
      </c>
      <c r="P830" s="11">
        <f t="shared" si="127"/>
        <v>168.77403846153845</v>
      </c>
      <c r="Q830" s="11">
        <f t="shared" si="128"/>
        <v>506.32211538461536</v>
      </c>
      <c r="R830" s="8">
        <v>38385</v>
      </c>
      <c r="S830" s="11">
        <f t="shared" si="129"/>
        <v>43386</v>
      </c>
      <c r="T830" s="20">
        <f>S830/median_percentile!$B$1</f>
        <v>0.8608589541355397</v>
      </c>
      <c r="U830" s="24" t="str" cm="1">
        <f t="array" ref="U830">_xlfn.IFS(T830&lt;1,"underpaid",T830&gt;1,"overpaid",T830=1,"median pay")</f>
        <v>underpaid</v>
      </c>
      <c r="V830" s="5"/>
    </row>
    <row r="831" spans="1:22" x14ac:dyDescent="0.3">
      <c r="A831" s="22" t="s">
        <v>842</v>
      </c>
      <c r="B831" s="12" t="s">
        <v>1841</v>
      </c>
      <c r="C831" s="12" t="s">
        <v>2013</v>
      </c>
      <c r="D831" s="13">
        <v>45706</v>
      </c>
      <c r="E831" s="14">
        <f t="shared" si="120"/>
        <v>563328</v>
      </c>
      <c r="F831" s="12">
        <v>40804</v>
      </c>
      <c r="G831" s="12">
        <v>6140</v>
      </c>
      <c r="H831" s="15">
        <f t="shared" si="121"/>
        <v>20402</v>
      </c>
      <c r="I831" s="15">
        <f t="shared" si="122"/>
        <v>8160.8</v>
      </c>
      <c r="J831" s="15">
        <f t="shared" si="123"/>
        <v>12241.2</v>
      </c>
      <c r="K831" s="15">
        <f t="shared" si="124"/>
        <v>2448.2399999999998</v>
      </c>
      <c r="L831" s="12">
        <v>200</v>
      </c>
      <c r="M831" s="12">
        <f t="shared" si="125"/>
        <v>208</v>
      </c>
      <c r="N831" s="15">
        <v>1</v>
      </c>
      <c r="O831" s="15">
        <f t="shared" si="126"/>
        <v>98.086538461538467</v>
      </c>
      <c r="P831" s="15">
        <f t="shared" si="127"/>
        <v>196.17307692307693</v>
      </c>
      <c r="Q831" s="15">
        <f t="shared" si="128"/>
        <v>196.17307692307693</v>
      </c>
      <c r="R831" s="12">
        <v>44296</v>
      </c>
      <c r="S831" s="15">
        <f t="shared" si="129"/>
        <v>50436</v>
      </c>
      <c r="T831" s="20">
        <f>S831/median_percentile!$B$1</f>
        <v>1.0007440697639811</v>
      </c>
      <c r="U831" s="24" t="str" cm="1">
        <f t="array" ref="U831">_xlfn.IFS(T831&lt;1,"underpaid",T831&gt;1,"overpaid",T831=1,"median pay")</f>
        <v>overpaid</v>
      </c>
      <c r="V831" s="5"/>
    </row>
    <row r="832" spans="1:22" x14ac:dyDescent="0.3">
      <c r="A832" s="21" t="s">
        <v>843</v>
      </c>
      <c r="B832" s="8" t="s">
        <v>1842</v>
      </c>
      <c r="C832" s="8" t="s">
        <v>2013</v>
      </c>
      <c r="D832" s="9">
        <v>45125</v>
      </c>
      <c r="E832" s="10">
        <f t="shared" si="120"/>
        <v>774060</v>
      </c>
      <c r="F832" s="8">
        <v>55177</v>
      </c>
      <c r="G832" s="8">
        <v>9328</v>
      </c>
      <c r="H832" s="11">
        <f t="shared" si="121"/>
        <v>27588.5</v>
      </c>
      <c r="I832" s="11">
        <f t="shared" si="122"/>
        <v>11035.400000000001</v>
      </c>
      <c r="J832" s="11">
        <f t="shared" si="123"/>
        <v>16553.099999999999</v>
      </c>
      <c r="K832" s="11">
        <f t="shared" si="124"/>
        <v>3310.62</v>
      </c>
      <c r="L832" s="8">
        <v>200</v>
      </c>
      <c r="M832" s="8">
        <f t="shared" si="125"/>
        <v>208</v>
      </c>
      <c r="N832" s="11">
        <v>2</v>
      </c>
      <c r="O832" s="11">
        <f t="shared" si="126"/>
        <v>132.63701923076923</v>
      </c>
      <c r="P832" s="11">
        <f t="shared" si="127"/>
        <v>265.27403846153845</v>
      </c>
      <c r="Q832" s="11">
        <f t="shared" si="128"/>
        <v>530.54807692307691</v>
      </c>
      <c r="R832" s="8">
        <v>60995</v>
      </c>
      <c r="S832" s="11">
        <f t="shared" si="129"/>
        <v>70323</v>
      </c>
      <c r="T832" s="20">
        <f>S832/median_percentile!$B$1</f>
        <v>1.3953391469984227</v>
      </c>
      <c r="U832" s="24" t="str" cm="1">
        <f t="array" ref="U832">_xlfn.IFS(T832&lt;1,"underpaid",T832&gt;1,"overpaid",T832=1,"median pay")</f>
        <v>overpaid</v>
      </c>
      <c r="V832" s="5"/>
    </row>
    <row r="833" spans="1:22" x14ac:dyDescent="0.3">
      <c r="A833" s="22" t="s">
        <v>844</v>
      </c>
      <c r="B833" s="12" t="s">
        <v>1843</v>
      </c>
      <c r="C833" s="12" t="s">
        <v>2015</v>
      </c>
      <c r="D833" s="13">
        <v>44701</v>
      </c>
      <c r="E833" s="14">
        <f t="shared" si="120"/>
        <v>505428</v>
      </c>
      <c r="F833" s="12">
        <v>35697</v>
      </c>
      <c r="G833" s="12">
        <v>6422</v>
      </c>
      <c r="H833" s="15">
        <f t="shared" si="121"/>
        <v>17848.5</v>
      </c>
      <c r="I833" s="15">
        <f t="shared" si="122"/>
        <v>7139.4000000000005</v>
      </c>
      <c r="J833" s="15">
        <f t="shared" si="123"/>
        <v>10709.099999999999</v>
      </c>
      <c r="K833" s="15">
        <f t="shared" si="124"/>
        <v>2141.8199999999997</v>
      </c>
      <c r="L833" s="12">
        <v>200</v>
      </c>
      <c r="M833" s="12">
        <f t="shared" si="125"/>
        <v>208</v>
      </c>
      <c r="N833" s="15">
        <v>5</v>
      </c>
      <c r="O833" s="15">
        <f t="shared" si="126"/>
        <v>85.81009615384616</v>
      </c>
      <c r="P833" s="15">
        <f t="shared" si="127"/>
        <v>171.62019230769232</v>
      </c>
      <c r="Q833" s="15">
        <f t="shared" si="128"/>
        <v>858.10096153846166</v>
      </c>
      <c r="R833" s="12">
        <v>40372</v>
      </c>
      <c r="S833" s="15">
        <f t="shared" si="129"/>
        <v>46794</v>
      </c>
      <c r="T833" s="20">
        <f>S833/median_percentile!$B$1</f>
        <v>0.92848001428613947</v>
      </c>
      <c r="U833" s="24" t="str" cm="1">
        <f t="array" ref="U833">_xlfn.IFS(T833&lt;1,"underpaid",T833&gt;1,"overpaid",T833=1,"median pay")</f>
        <v>underpaid</v>
      </c>
      <c r="V833" s="5"/>
    </row>
    <row r="834" spans="1:22" x14ac:dyDescent="0.3">
      <c r="A834" s="21" t="s">
        <v>845</v>
      </c>
      <c r="B834" s="8" t="s">
        <v>1844</v>
      </c>
      <c r="C834" s="8" t="s">
        <v>2016</v>
      </c>
      <c r="D834" s="9">
        <v>45530</v>
      </c>
      <c r="E834" s="10">
        <f t="shared" ref="E834:E897" si="130">(F834*12)+(G834*12)</f>
        <v>424836</v>
      </c>
      <c r="F834" s="8">
        <v>29700</v>
      </c>
      <c r="G834" s="8">
        <v>5703</v>
      </c>
      <c r="H834" s="11">
        <f t="shared" ref="H834:H897" si="131">F834*50%</f>
        <v>14850</v>
      </c>
      <c r="I834" s="11">
        <f t="shared" ref="I834:I897" si="132">H834*40%</f>
        <v>5940</v>
      </c>
      <c r="J834" s="11">
        <f t="shared" ref="J834:J897" si="133">F834-(H834+I834)</f>
        <v>8910</v>
      </c>
      <c r="K834" s="11">
        <f t="shared" ref="K834:K897" si="134">H834*12%</f>
        <v>1782</v>
      </c>
      <c r="L834" s="8">
        <v>200</v>
      </c>
      <c r="M834" s="8">
        <f t="shared" si="125"/>
        <v>208</v>
      </c>
      <c r="N834" s="11">
        <v>3</v>
      </c>
      <c r="O834" s="11">
        <f t="shared" si="126"/>
        <v>71.394230769230774</v>
      </c>
      <c r="P834" s="11">
        <f t="shared" si="127"/>
        <v>142.78846153846155</v>
      </c>
      <c r="Q834" s="11">
        <f t="shared" si="128"/>
        <v>428.36538461538464</v>
      </c>
      <c r="R834" s="8">
        <v>33916</v>
      </c>
      <c r="S834" s="11">
        <f t="shared" si="129"/>
        <v>39619</v>
      </c>
      <c r="T834" s="20">
        <f>S834/median_percentile!$B$1</f>
        <v>0.7861146661110946</v>
      </c>
      <c r="U834" s="24" t="str" cm="1">
        <f t="array" ref="U834">_xlfn.IFS(T834&lt;1,"underpaid",T834&gt;1,"overpaid",T834=1,"median pay")</f>
        <v>underpaid</v>
      </c>
      <c r="V834" s="5"/>
    </row>
    <row r="835" spans="1:22" x14ac:dyDescent="0.3">
      <c r="A835" s="22" t="s">
        <v>846</v>
      </c>
      <c r="B835" s="12" t="s">
        <v>1845</v>
      </c>
      <c r="C835" s="12" t="s">
        <v>2015</v>
      </c>
      <c r="D835" s="13">
        <v>43828</v>
      </c>
      <c r="E835" s="14">
        <f t="shared" si="130"/>
        <v>530208</v>
      </c>
      <c r="F835" s="12">
        <v>39498</v>
      </c>
      <c r="G835" s="12">
        <v>4686</v>
      </c>
      <c r="H835" s="15">
        <f t="shared" si="131"/>
        <v>19749</v>
      </c>
      <c r="I835" s="15">
        <f t="shared" si="132"/>
        <v>7899.6</v>
      </c>
      <c r="J835" s="15">
        <f t="shared" si="133"/>
        <v>11849.400000000001</v>
      </c>
      <c r="K835" s="15">
        <f t="shared" si="134"/>
        <v>2369.88</v>
      </c>
      <c r="L835" s="12">
        <v>200</v>
      </c>
      <c r="M835" s="12">
        <f t="shared" ref="M835:M898" si="135">8*26</f>
        <v>208</v>
      </c>
      <c r="N835" s="15">
        <v>4</v>
      </c>
      <c r="O835" s="15">
        <f t="shared" ref="O835:O898" si="136">H835/M835</f>
        <v>94.947115384615387</v>
      </c>
      <c r="P835" s="15">
        <f t="shared" ref="P835:P898" si="137">O835*2</f>
        <v>189.89423076923077</v>
      </c>
      <c r="Q835" s="15">
        <f t="shared" ref="Q835:Q898" si="138">P835*N835</f>
        <v>759.57692307692309</v>
      </c>
      <c r="R835" s="12">
        <v>41615</v>
      </c>
      <c r="S835" s="15">
        <f t="shared" ref="S835:T898" si="139">R835+G835</f>
        <v>46301</v>
      </c>
      <c r="T835" s="20">
        <f>S835/median_percentile!$B$1</f>
        <v>0.91869797712233503</v>
      </c>
      <c r="U835" s="24" t="str" cm="1">
        <f t="array" ref="U835">_xlfn.IFS(T835&lt;1,"underpaid",T835&gt;1,"overpaid",T835=1,"median pay")</f>
        <v>underpaid</v>
      </c>
      <c r="V835" s="5"/>
    </row>
    <row r="836" spans="1:22" x14ac:dyDescent="0.3">
      <c r="A836" s="21" t="s">
        <v>847</v>
      </c>
      <c r="B836" s="8" t="s">
        <v>1846</v>
      </c>
      <c r="C836" s="8" t="s">
        <v>2011</v>
      </c>
      <c r="D836" s="9">
        <v>44876</v>
      </c>
      <c r="E836" s="10">
        <f t="shared" si="130"/>
        <v>563724</v>
      </c>
      <c r="F836" s="8">
        <v>41484</v>
      </c>
      <c r="G836" s="8">
        <v>5493</v>
      </c>
      <c r="H836" s="11">
        <f t="shared" si="131"/>
        <v>20742</v>
      </c>
      <c r="I836" s="11">
        <f t="shared" si="132"/>
        <v>8296.8000000000011</v>
      </c>
      <c r="J836" s="11">
        <f t="shared" si="133"/>
        <v>12445.199999999997</v>
      </c>
      <c r="K836" s="11">
        <f t="shared" si="134"/>
        <v>2489.04</v>
      </c>
      <c r="L836" s="8">
        <v>200</v>
      </c>
      <c r="M836" s="8">
        <f t="shared" si="135"/>
        <v>208</v>
      </c>
      <c r="N836" s="11">
        <v>0</v>
      </c>
      <c r="O836" s="11">
        <f t="shared" si="136"/>
        <v>99.72115384615384</v>
      </c>
      <c r="P836" s="11">
        <f t="shared" si="137"/>
        <v>199.44230769230768</v>
      </c>
      <c r="Q836" s="11">
        <f t="shared" si="138"/>
        <v>0</v>
      </c>
      <c r="R836" s="8">
        <v>44633</v>
      </c>
      <c r="S836" s="11">
        <f t="shared" si="139"/>
        <v>50126</v>
      </c>
      <c r="T836" s="20">
        <f>S836/median_percentile!$B$1</f>
        <v>0.99459309304840426</v>
      </c>
      <c r="U836" s="24" t="str" cm="1">
        <f t="array" ref="U836">_xlfn.IFS(T836&lt;1,"underpaid",T836&gt;1,"overpaid",T836=1,"median pay")</f>
        <v>underpaid</v>
      </c>
      <c r="V836" s="5"/>
    </row>
    <row r="837" spans="1:22" x14ac:dyDescent="0.3">
      <c r="A837" s="22" t="s">
        <v>848</v>
      </c>
      <c r="B837" s="12" t="s">
        <v>1847</v>
      </c>
      <c r="C837" s="12" t="s">
        <v>2016</v>
      </c>
      <c r="D837" s="13">
        <v>45273</v>
      </c>
      <c r="E837" s="14">
        <f t="shared" si="130"/>
        <v>588000</v>
      </c>
      <c r="F837" s="12">
        <v>42377</v>
      </c>
      <c r="G837" s="12">
        <v>6623</v>
      </c>
      <c r="H837" s="15">
        <f t="shared" si="131"/>
        <v>21188.5</v>
      </c>
      <c r="I837" s="15">
        <f t="shared" si="132"/>
        <v>8475.4</v>
      </c>
      <c r="J837" s="15">
        <f t="shared" si="133"/>
        <v>12713.099999999999</v>
      </c>
      <c r="K837" s="15">
        <f t="shared" si="134"/>
        <v>2542.62</v>
      </c>
      <c r="L837" s="12">
        <v>200</v>
      </c>
      <c r="M837" s="12">
        <f t="shared" si="135"/>
        <v>208</v>
      </c>
      <c r="N837" s="15">
        <v>1</v>
      </c>
      <c r="O837" s="15">
        <f t="shared" si="136"/>
        <v>101.86778846153847</v>
      </c>
      <c r="P837" s="15">
        <f t="shared" si="137"/>
        <v>203.73557692307693</v>
      </c>
      <c r="Q837" s="15">
        <f t="shared" si="138"/>
        <v>203.73557692307693</v>
      </c>
      <c r="R837" s="12">
        <v>46964</v>
      </c>
      <c r="S837" s="15">
        <f t="shared" si="139"/>
        <v>53587</v>
      </c>
      <c r="T837" s="20">
        <f>S837/median_percentile!$B$1</f>
        <v>1.0632657717987639</v>
      </c>
      <c r="U837" s="24" t="str" cm="1">
        <f t="array" ref="U837">_xlfn.IFS(T837&lt;1,"underpaid",T837&gt;1,"overpaid",T837=1,"median pay")</f>
        <v>overpaid</v>
      </c>
      <c r="V837" s="5"/>
    </row>
    <row r="838" spans="1:22" x14ac:dyDescent="0.3">
      <c r="A838" s="21" t="s">
        <v>849</v>
      </c>
      <c r="B838" s="8" t="s">
        <v>1848</v>
      </c>
      <c r="C838" s="8" t="s">
        <v>2016</v>
      </c>
      <c r="D838" s="9">
        <v>43676</v>
      </c>
      <c r="E838" s="10">
        <f t="shared" si="130"/>
        <v>355476</v>
      </c>
      <c r="F838" s="8">
        <v>25911</v>
      </c>
      <c r="G838" s="8">
        <v>3712</v>
      </c>
      <c r="H838" s="11">
        <f t="shared" si="131"/>
        <v>12955.5</v>
      </c>
      <c r="I838" s="11">
        <f t="shared" si="132"/>
        <v>5182.2000000000007</v>
      </c>
      <c r="J838" s="11">
        <f t="shared" si="133"/>
        <v>7773.2999999999993</v>
      </c>
      <c r="K838" s="11">
        <f t="shared" si="134"/>
        <v>1554.6599999999999</v>
      </c>
      <c r="L838" s="8">
        <v>200</v>
      </c>
      <c r="M838" s="8">
        <f t="shared" si="135"/>
        <v>208</v>
      </c>
      <c r="N838" s="11">
        <v>1</v>
      </c>
      <c r="O838" s="11">
        <f t="shared" si="136"/>
        <v>62.286057692307693</v>
      </c>
      <c r="P838" s="11">
        <f t="shared" si="137"/>
        <v>124.57211538461539</v>
      </c>
      <c r="Q838" s="11">
        <f t="shared" si="138"/>
        <v>124.57211538461539</v>
      </c>
      <c r="R838" s="8">
        <v>28084</v>
      </c>
      <c r="S838" s="11">
        <f t="shared" si="139"/>
        <v>31796</v>
      </c>
      <c r="T838" s="20">
        <f>S838/median_percentile!$B$1</f>
        <v>0.63089179241445681</v>
      </c>
      <c r="U838" s="24" t="str" cm="1">
        <f t="array" ref="U838">_xlfn.IFS(T838&lt;1,"underpaid",T838&gt;1,"overpaid",T838=1,"median pay")</f>
        <v>underpaid</v>
      </c>
      <c r="V838" s="5"/>
    </row>
    <row r="839" spans="1:22" x14ac:dyDescent="0.3">
      <c r="A839" s="22" t="s">
        <v>850</v>
      </c>
      <c r="B839" s="12" t="s">
        <v>1849</v>
      </c>
      <c r="C839" s="12" t="s">
        <v>2015</v>
      </c>
      <c r="D839" s="13">
        <v>45038</v>
      </c>
      <c r="E839" s="14">
        <f t="shared" si="130"/>
        <v>578400</v>
      </c>
      <c r="F839" s="12">
        <v>42113</v>
      </c>
      <c r="G839" s="12">
        <v>6087</v>
      </c>
      <c r="H839" s="15">
        <f t="shared" si="131"/>
        <v>21056.5</v>
      </c>
      <c r="I839" s="15">
        <f t="shared" si="132"/>
        <v>8422.6</v>
      </c>
      <c r="J839" s="15">
        <f t="shared" si="133"/>
        <v>12633.900000000001</v>
      </c>
      <c r="K839" s="15">
        <f t="shared" si="134"/>
        <v>2526.7799999999997</v>
      </c>
      <c r="L839" s="12">
        <v>200</v>
      </c>
      <c r="M839" s="12">
        <f t="shared" si="135"/>
        <v>208</v>
      </c>
      <c r="N839" s="15">
        <v>5</v>
      </c>
      <c r="O839" s="15">
        <f t="shared" si="136"/>
        <v>101.23317307692308</v>
      </c>
      <c r="P839" s="15">
        <f t="shared" si="137"/>
        <v>202.46634615384616</v>
      </c>
      <c r="Q839" s="15">
        <f t="shared" si="138"/>
        <v>1012.3317307692308</v>
      </c>
      <c r="R839" s="12">
        <v>45474</v>
      </c>
      <c r="S839" s="15">
        <f t="shared" si="139"/>
        <v>51561</v>
      </c>
      <c r="T839" s="20">
        <f>S839/median_percentile!$B$1</f>
        <v>1.0230661626834132</v>
      </c>
      <c r="U839" s="24" t="str" cm="1">
        <f t="array" ref="U839">_xlfn.IFS(T839&lt;1,"underpaid",T839&gt;1,"overpaid",T839=1,"median pay")</f>
        <v>overpaid</v>
      </c>
      <c r="V839" s="5"/>
    </row>
    <row r="840" spans="1:22" x14ac:dyDescent="0.3">
      <c r="A840" s="21" t="s">
        <v>851</v>
      </c>
      <c r="B840" s="8" t="s">
        <v>1850</v>
      </c>
      <c r="C840" s="8" t="s">
        <v>2013</v>
      </c>
      <c r="D840" s="9">
        <v>45299</v>
      </c>
      <c r="E840" s="10">
        <f t="shared" si="130"/>
        <v>579300</v>
      </c>
      <c r="F840" s="8">
        <v>41333</v>
      </c>
      <c r="G840" s="8">
        <v>6942</v>
      </c>
      <c r="H840" s="11">
        <f t="shared" si="131"/>
        <v>20666.5</v>
      </c>
      <c r="I840" s="11">
        <f t="shared" si="132"/>
        <v>8266.6</v>
      </c>
      <c r="J840" s="11">
        <f t="shared" si="133"/>
        <v>12399.900000000001</v>
      </c>
      <c r="K840" s="11">
        <f t="shared" si="134"/>
        <v>2479.98</v>
      </c>
      <c r="L840" s="8">
        <v>200</v>
      </c>
      <c r="M840" s="8">
        <f t="shared" si="135"/>
        <v>208</v>
      </c>
      <c r="N840" s="11">
        <v>5</v>
      </c>
      <c r="O840" s="11">
        <f t="shared" si="136"/>
        <v>99.35817307692308</v>
      </c>
      <c r="P840" s="11">
        <f t="shared" si="137"/>
        <v>198.71634615384616</v>
      </c>
      <c r="Q840" s="11">
        <f t="shared" si="138"/>
        <v>993.58173076923083</v>
      </c>
      <c r="R840" s="8">
        <v>45596</v>
      </c>
      <c r="S840" s="11">
        <f t="shared" si="139"/>
        <v>52538</v>
      </c>
      <c r="T840" s="20">
        <f>S840/median_percentile!$B$1</f>
        <v>1.0424516602676668</v>
      </c>
      <c r="U840" s="24" t="str" cm="1">
        <f t="array" ref="U840">_xlfn.IFS(T840&lt;1,"underpaid",T840&gt;1,"overpaid",T840=1,"median pay")</f>
        <v>overpaid</v>
      </c>
      <c r="V840" s="5"/>
    </row>
    <row r="841" spans="1:22" x14ac:dyDescent="0.3">
      <c r="A841" s="22" t="s">
        <v>852</v>
      </c>
      <c r="B841" s="12" t="s">
        <v>1851</v>
      </c>
      <c r="C841" s="12" t="s">
        <v>2014</v>
      </c>
      <c r="D841" s="13">
        <v>45821</v>
      </c>
      <c r="E841" s="14">
        <f t="shared" si="130"/>
        <v>626976</v>
      </c>
      <c r="F841" s="12">
        <v>46562</v>
      </c>
      <c r="G841" s="12">
        <v>5686</v>
      </c>
      <c r="H841" s="15">
        <f t="shared" si="131"/>
        <v>23281</v>
      </c>
      <c r="I841" s="15">
        <f t="shared" si="132"/>
        <v>9312.4</v>
      </c>
      <c r="J841" s="15">
        <f t="shared" si="133"/>
        <v>13968.599999999999</v>
      </c>
      <c r="K841" s="15">
        <f t="shared" si="134"/>
        <v>2793.72</v>
      </c>
      <c r="L841" s="12">
        <v>200</v>
      </c>
      <c r="M841" s="12">
        <f t="shared" si="135"/>
        <v>208</v>
      </c>
      <c r="N841" s="15">
        <v>1</v>
      </c>
      <c r="O841" s="15">
        <f t="shared" si="136"/>
        <v>111.92788461538461</v>
      </c>
      <c r="P841" s="15">
        <f t="shared" si="137"/>
        <v>223.85576923076923</v>
      </c>
      <c r="Q841" s="15">
        <f t="shared" si="138"/>
        <v>223.85576923076923</v>
      </c>
      <c r="R841" s="12">
        <v>49255</v>
      </c>
      <c r="S841" s="15">
        <f t="shared" si="139"/>
        <v>54941</v>
      </c>
      <c r="T841" s="20">
        <f>S841/median_percentile!$B$1</f>
        <v>1.0901316507435737</v>
      </c>
      <c r="U841" s="24" t="str" cm="1">
        <f t="array" ref="U841">_xlfn.IFS(T841&lt;1,"underpaid",T841&gt;1,"overpaid",T841=1,"median pay")</f>
        <v>overpaid</v>
      </c>
      <c r="V841" s="5"/>
    </row>
    <row r="842" spans="1:22" x14ac:dyDescent="0.3">
      <c r="A842" s="21" t="s">
        <v>853</v>
      </c>
      <c r="B842" s="8" t="s">
        <v>1852</v>
      </c>
      <c r="C842" s="8" t="s">
        <v>2016</v>
      </c>
      <c r="D842" s="9">
        <v>43921</v>
      </c>
      <c r="E842" s="10">
        <f t="shared" si="130"/>
        <v>366600</v>
      </c>
      <c r="F842" s="8">
        <v>26088</v>
      </c>
      <c r="G842" s="8">
        <v>4462</v>
      </c>
      <c r="H842" s="11">
        <f t="shared" si="131"/>
        <v>13044</v>
      </c>
      <c r="I842" s="11">
        <f t="shared" si="132"/>
        <v>5217.6000000000004</v>
      </c>
      <c r="J842" s="11">
        <f t="shared" si="133"/>
        <v>7826.4000000000015</v>
      </c>
      <c r="K842" s="11">
        <f t="shared" si="134"/>
        <v>1565.28</v>
      </c>
      <c r="L842" s="8">
        <v>200</v>
      </c>
      <c r="M842" s="8">
        <f t="shared" si="135"/>
        <v>208</v>
      </c>
      <c r="N842" s="11">
        <v>2</v>
      </c>
      <c r="O842" s="11">
        <f t="shared" si="136"/>
        <v>62.71153846153846</v>
      </c>
      <c r="P842" s="11">
        <f t="shared" si="137"/>
        <v>125.42307692307692</v>
      </c>
      <c r="Q842" s="11">
        <f t="shared" si="138"/>
        <v>250.84615384615384</v>
      </c>
      <c r="R842" s="8">
        <v>28785</v>
      </c>
      <c r="S842" s="11">
        <f t="shared" si="139"/>
        <v>33247</v>
      </c>
      <c r="T842" s="20">
        <f>S842/median_percentile!$B$1</f>
        <v>0.65968233181543101</v>
      </c>
      <c r="U842" s="24" t="str" cm="1">
        <f t="array" ref="U842">_xlfn.IFS(T842&lt;1,"underpaid",T842&gt;1,"overpaid",T842=1,"median pay")</f>
        <v>underpaid</v>
      </c>
      <c r="V842" s="5"/>
    </row>
    <row r="843" spans="1:22" x14ac:dyDescent="0.3">
      <c r="A843" s="22" t="s">
        <v>854</v>
      </c>
      <c r="B843" s="12" t="s">
        <v>1853</v>
      </c>
      <c r="C843" s="12" t="s">
        <v>2016</v>
      </c>
      <c r="D843" s="13">
        <v>44016</v>
      </c>
      <c r="E843" s="14">
        <f t="shared" si="130"/>
        <v>515268</v>
      </c>
      <c r="F843" s="12">
        <v>37446</v>
      </c>
      <c r="G843" s="12">
        <v>5493</v>
      </c>
      <c r="H843" s="15">
        <f t="shared" si="131"/>
        <v>18723</v>
      </c>
      <c r="I843" s="15">
        <f t="shared" si="132"/>
        <v>7489.2000000000007</v>
      </c>
      <c r="J843" s="15">
        <f t="shared" si="133"/>
        <v>11233.8</v>
      </c>
      <c r="K843" s="15">
        <f t="shared" si="134"/>
        <v>2246.7599999999998</v>
      </c>
      <c r="L843" s="12">
        <v>200</v>
      </c>
      <c r="M843" s="12">
        <f t="shared" si="135"/>
        <v>208</v>
      </c>
      <c r="N843" s="15">
        <v>3</v>
      </c>
      <c r="O843" s="15">
        <f t="shared" si="136"/>
        <v>90.01442307692308</v>
      </c>
      <c r="P843" s="15">
        <f t="shared" si="137"/>
        <v>180.02884615384616</v>
      </c>
      <c r="Q843" s="15">
        <f t="shared" si="138"/>
        <v>540.08653846153845</v>
      </c>
      <c r="R843" s="12">
        <v>40493</v>
      </c>
      <c r="S843" s="15">
        <f t="shared" si="139"/>
        <v>45986</v>
      </c>
      <c r="T843" s="20">
        <f>S843/median_percentile!$B$1</f>
        <v>0.91244779110489405</v>
      </c>
      <c r="U843" s="24" t="str" cm="1">
        <f t="array" ref="U843">_xlfn.IFS(T843&lt;1,"underpaid",T843&gt;1,"overpaid",T843=1,"median pay")</f>
        <v>underpaid</v>
      </c>
      <c r="V843" s="5"/>
    </row>
    <row r="844" spans="1:22" x14ac:dyDescent="0.3">
      <c r="A844" s="21" t="s">
        <v>855</v>
      </c>
      <c r="B844" s="8" t="s">
        <v>1854</v>
      </c>
      <c r="C844" s="8" t="s">
        <v>2012</v>
      </c>
      <c r="D844" s="9">
        <v>44321</v>
      </c>
      <c r="E844" s="10">
        <f t="shared" si="130"/>
        <v>404160</v>
      </c>
      <c r="F844" s="8">
        <v>28813</v>
      </c>
      <c r="G844" s="8">
        <v>4867</v>
      </c>
      <c r="H844" s="11">
        <f t="shared" si="131"/>
        <v>14406.5</v>
      </c>
      <c r="I844" s="11">
        <f t="shared" si="132"/>
        <v>5762.6</v>
      </c>
      <c r="J844" s="11">
        <f t="shared" si="133"/>
        <v>8643.9000000000015</v>
      </c>
      <c r="K844" s="11">
        <f t="shared" si="134"/>
        <v>1728.78</v>
      </c>
      <c r="L844" s="8">
        <v>200</v>
      </c>
      <c r="M844" s="8">
        <f t="shared" si="135"/>
        <v>208</v>
      </c>
      <c r="N844" s="11">
        <v>3</v>
      </c>
      <c r="O844" s="11">
        <f t="shared" si="136"/>
        <v>69.262019230769226</v>
      </c>
      <c r="P844" s="11">
        <f t="shared" si="137"/>
        <v>138.52403846153845</v>
      </c>
      <c r="Q844" s="11">
        <f t="shared" si="138"/>
        <v>415.57211538461536</v>
      </c>
      <c r="R844" s="8">
        <v>31752</v>
      </c>
      <c r="S844" s="11">
        <f t="shared" si="139"/>
        <v>36619</v>
      </c>
      <c r="T844" s="20">
        <f>S844/median_percentile!$B$1</f>
        <v>0.72658908499260888</v>
      </c>
      <c r="U844" s="24" t="str" cm="1">
        <f t="array" ref="U844">_xlfn.IFS(T844&lt;1,"underpaid",T844&gt;1,"overpaid",T844=1,"median pay")</f>
        <v>underpaid</v>
      </c>
      <c r="V844" s="5"/>
    </row>
    <row r="845" spans="1:22" x14ac:dyDescent="0.3">
      <c r="A845" s="22" t="s">
        <v>856</v>
      </c>
      <c r="B845" s="12" t="s">
        <v>1855</v>
      </c>
      <c r="C845" s="12" t="s">
        <v>2015</v>
      </c>
      <c r="D845" s="13">
        <v>45745</v>
      </c>
      <c r="E845" s="14">
        <f t="shared" si="130"/>
        <v>482424</v>
      </c>
      <c r="F845" s="12">
        <v>33808</v>
      </c>
      <c r="G845" s="12">
        <v>6394</v>
      </c>
      <c r="H845" s="15">
        <f t="shared" si="131"/>
        <v>16904</v>
      </c>
      <c r="I845" s="15">
        <f t="shared" si="132"/>
        <v>6761.6</v>
      </c>
      <c r="J845" s="15">
        <f t="shared" si="133"/>
        <v>10142.400000000001</v>
      </c>
      <c r="K845" s="15">
        <f t="shared" si="134"/>
        <v>2028.48</v>
      </c>
      <c r="L845" s="12">
        <v>200</v>
      </c>
      <c r="M845" s="12">
        <f t="shared" si="135"/>
        <v>208</v>
      </c>
      <c r="N845" s="15">
        <v>3</v>
      </c>
      <c r="O845" s="15">
        <f t="shared" si="136"/>
        <v>81.269230769230774</v>
      </c>
      <c r="P845" s="15">
        <f t="shared" si="137"/>
        <v>162.53846153846155</v>
      </c>
      <c r="Q845" s="15">
        <f t="shared" si="138"/>
        <v>487.61538461538464</v>
      </c>
      <c r="R845" s="12">
        <v>37974</v>
      </c>
      <c r="S845" s="15">
        <f t="shared" si="139"/>
        <v>44368</v>
      </c>
      <c r="T845" s="20">
        <f>S845/median_percentile!$B$1</f>
        <v>0.8803436610216574</v>
      </c>
      <c r="U845" s="24" t="str" cm="1">
        <f t="array" ref="U845">_xlfn.IFS(T845&lt;1,"underpaid",T845&gt;1,"overpaid",T845=1,"median pay")</f>
        <v>underpaid</v>
      </c>
      <c r="V845" s="5"/>
    </row>
    <row r="846" spans="1:22" x14ac:dyDescent="0.3">
      <c r="A846" s="21" t="s">
        <v>857</v>
      </c>
      <c r="B846" s="8" t="s">
        <v>1856</v>
      </c>
      <c r="C846" s="8" t="s">
        <v>2013</v>
      </c>
      <c r="D846" s="9">
        <v>45682</v>
      </c>
      <c r="E846" s="10">
        <f t="shared" si="130"/>
        <v>506544</v>
      </c>
      <c r="F846" s="8">
        <v>36265</v>
      </c>
      <c r="G846" s="8">
        <v>5947</v>
      </c>
      <c r="H846" s="11">
        <f t="shared" si="131"/>
        <v>18132.5</v>
      </c>
      <c r="I846" s="11">
        <f t="shared" si="132"/>
        <v>7253</v>
      </c>
      <c r="J846" s="11">
        <f t="shared" si="133"/>
        <v>10879.5</v>
      </c>
      <c r="K846" s="11">
        <f t="shared" si="134"/>
        <v>2175.9</v>
      </c>
      <c r="L846" s="8">
        <v>200</v>
      </c>
      <c r="M846" s="8">
        <f t="shared" si="135"/>
        <v>208</v>
      </c>
      <c r="N846" s="11">
        <v>5</v>
      </c>
      <c r="O846" s="11">
        <f t="shared" si="136"/>
        <v>87.175480769230774</v>
      </c>
      <c r="P846" s="11">
        <f t="shared" si="137"/>
        <v>174.35096153846155</v>
      </c>
      <c r="Q846" s="11">
        <f t="shared" si="138"/>
        <v>871.75480769230774</v>
      </c>
      <c r="R846" s="8">
        <v>40139</v>
      </c>
      <c r="S846" s="11">
        <f t="shared" si="139"/>
        <v>46086</v>
      </c>
      <c r="T846" s="20">
        <f>S846/median_percentile!$B$1</f>
        <v>0.91443197714217683</v>
      </c>
      <c r="U846" s="24" t="str" cm="1">
        <f t="array" ref="U846">_xlfn.IFS(T846&lt;1,"underpaid",T846&gt;1,"overpaid",T846=1,"median pay")</f>
        <v>underpaid</v>
      </c>
      <c r="V846" s="5"/>
    </row>
    <row r="847" spans="1:22" x14ac:dyDescent="0.3">
      <c r="A847" s="22" t="s">
        <v>858</v>
      </c>
      <c r="B847" s="12" t="s">
        <v>1857</v>
      </c>
      <c r="C847" s="12" t="s">
        <v>2012</v>
      </c>
      <c r="D847" s="13">
        <v>44482</v>
      </c>
      <c r="E847" s="14">
        <f t="shared" si="130"/>
        <v>615024</v>
      </c>
      <c r="F847" s="12">
        <v>44998</v>
      </c>
      <c r="G847" s="12">
        <v>6254</v>
      </c>
      <c r="H847" s="15">
        <f t="shared" si="131"/>
        <v>22499</v>
      </c>
      <c r="I847" s="15">
        <f t="shared" si="132"/>
        <v>8999.6</v>
      </c>
      <c r="J847" s="15">
        <f t="shared" si="133"/>
        <v>13499.400000000001</v>
      </c>
      <c r="K847" s="15">
        <f t="shared" si="134"/>
        <v>2699.88</v>
      </c>
      <c r="L847" s="12">
        <v>200</v>
      </c>
      <c r="M847" s="12">
        <f t="shared" si="135"/>
        <v>208</v>
      </c>
      <c r="N847" s="15">
        <v>0</v>
      </c>
      <c r="O847" s="15">
        <f t="shared" si="136"/>
        <v>108.16826923076923</v>
      </c>
      <c r="P847" s="15">
        <f t="shared" si="137"/>
        <v>216.33653846153845</v>
      </c>
      <c r="Q847" s="15">
        <f t="shared" si="138"/>
        <v>0</v>
      </c>
      <c r="R847" s="12">
        <v>48353</v>
      </c>
      <c r="S847" s="15">
        <f t="shared" si="139"/>
        <v>54607</v>
      </c>
      <c r="T847" s="20">
        <f>S847/median_percentile!$B$1</f>
        <v>1.083504469379049</v>
      </c>
      <c r="U847" s="24" t="str" cm="1">
        <f t="array" ref="U847">_xlfn.IFS(T847&lt;1,"underpaid",T847&gt;1,"overpaid",T847=1,"median pay")</f>
        <v>overpaid</v>
      </c>
      <c r="V847" s="5"/>
    </row>
    <row r="848" spans="1:22" x14ac:dyDescent="0.3">
      <c r="A848" s="21" t="s">
        <v>859</v>
      </c>
      <c r="B848" s="8" t="s">
        <v>1858</v>
      </c>
      <c r="C848" s="8" t="s">
        <v>2013</v>
      </c>
      <c r="D848" s="9">
        <v>43714</v>
      </c>
      <c r="E848" s="10">
        <f t="shared" si="130"/>
        <v>519168</v>
      </c>
      <c r="F848" s="8">
        <v>36852</v>
      </c>
      <c r="G848" s="8">
        <v>6412</v>
      </c>
      <c r="H848" s="11">
        <f t="shared" si="131"/>
        <v>18426</v>
      </c>
      <c r="I848" s="11">
        <f t="shared" si="132"/>
        <v>7370.4000000000005</v>
      </c>
      <c r="J848" s="11">
        <f t="shared" si="133"/>
        <v>11055.599999999999</v>
      </c>
      <c r="K848" s="11">
        <f t="shared" si="134"/>
        <v>2211.12</v>
      </c>
      <c r="L848" s="8">
        <v>200</v>
      </c>
      <c r="M848" s="8">
        <f t="shared" si="135"/>
        <v>208</v>
      </c>
      <c r="N848" s="11">
        <v>1</v>
      </c>
      <c r="O848" s="11">
        <f t="shared" si="136"/>
        <v>88.586538461538467</v>
      </c>
      <c r="P848" s="11">
        <f t="shared" si="137"/>
        <v>177.17307692307693</v>
      </c>
      <c r="Q848" s="11">
        <f t="shared" si="138"/>
        <v>177.17307692307693</v>
      </c>
      <c r="R848" s="8">
        <v>40853</v>
      </c>
      <c r="S848" s="11">
        <f t="shared" si="139"/>
        <v>47265</v>
      </c>
      <c r="T848" s="20">
        <f>S848/median_percentile!$B$1</f>
        <v>0.93782553052174167</v>
      </c>
      <c r="U848" s="24" t="str" cm="1">
        <f t="array" ref="U848">_xlfn.IFS(T848&lt;1,"underpaid",T848&gt;1,"overpaid",T848=1,"median pay")</f>
        <v>underpaid</v>
      </c>
      <c r="V848" s="5"/>
    </row>
    <row r="849" spans="1:22" x14ac:dyDescent="0.3">
      <c r="A849" s="22" t="s">
        <v>860</v>
      </c>
      <c r="B849" s="12" t="s">
        <v>1859</v>
      </c>
      <c r="C849" s="12" t="s">
        <v>2015</v>
      </c>
      <c r="D849" s="13">
        <v>43967</v>
      </c>
      <c r="E849" s="14">
        <f t="shared" si="130"/>
        <v>702156</v>
      </c>
      <c r="F849" s="12">
        <v>50827</v>
      </c>
      <c r="G849" s="12">
        <v>7686</v>
      </c>
      <c r="H849" s="15">
        <f t="shared" si="131"/>
        <v>25413.5</v>
      </c>
      <c r="I849" s="15">
        <f t="shared" si="132"/>
        <v>10165.400000000001</v>
      </c>
      <c r="J849" s="15">
        <f t="shared" si="133"/>
        <v>15248.099999999999</v>
      </c>
      <c r="K849" s="15">
        <f t="shared" si="134"/>
        <v>3049.62</v>
      </c>
      <c r="L849" s="12">
        <v>200</v>
      </c>
      <c r="M849" s="12">
        <f t="shared" si="135"/>
        <v>208</v>
      </c>
      <c r="N849" s="15">
        <v>3</v>
      </c>
      <c r="O849" s="15">
        <f t="shared" si="136"/>
        <v>122.18028846153847</v>
      </c>
      <c r="P849" s="15">
        <f t="shared" si="137"/>
        <v>244.36057692307693</v>
      </c>
      <c r="Q849" s="15">
        <f t="shared" si="138"/>
        <v>733.08173076923083</v>
      </c>
      <c r="R849" s="12">
        <v>55687</v>
      </c>
      <c r="S849" s="15">
        <f t="shared" si="139"/>
        <v>63373</v>
      </c>
      <c r="T849" s="20">
        <f>S849/median_percentile!$B$1</f>
        <v>1.257438217407264</v>
      </c>
      <c r="U849" s="24" t="str" cm="1">
        <f t="array" ref="U849">_xlfn.IFS(T849&lt;1,"underpaid",T849&gt;1,"overpaid",T849=1,"median pay")</f>
        <v>overpaid</v>
      </c>
      <c r="V849" s="5"/>
    </row>
    <row r="850" spans="1:22" x14ac:dyDescent="0.3">
      <c r="A850" s="21" t="s">
        <v>861</v>
      </c>
      <c r="B850" s="8" t="s">
        <v>1860</v>
      </c>
      <c r="C850" s="8" t="s">
        <v>2011</v>
      </c>
      <c r="D850" s="9">
        <v>44535</v>
      </c>
      <c r="E850" s="10">
        <f t="shared" si="130"/>
        <v>609312</v>
      </c>
      <c r="F850" s="8">
        <v>43543</v>
      </c>
      <c r="G850" s="8">
        <v>7233</v>
      </c>
      <c r="H850" s="11">
        <f t="shared" si="131"/>
        <v>21771.5</v>
      </c>
      <c r="I850" s="11">
        <f t="shared" si="132"/>
        <v>8708.6</v>
      </c>
      <c r="J850" s="11">
        <f t="shared" si="133"/>
        <v>13062.900000000001</v>
      </c>
      <c r="K850" s="11">
        <f t="shared" si="134"/>
        <v>2612.58</v>
      </c>
      <c r="L850" s="8">
        <v>200</v>
      </c>
      <c r="M850" s="8">
        <f t="shared" si="135"/>
        <v>208</v>
      </c>
      <c r="N850" s="11">
        <v>4</v>
      </c>
      <c r="O850" s="11">
        <f t="shared" si="136"/>
        <v>104.67067307692308</v>
      </c>
      <c r="P850" s="11">
        <f t="shared" si="137"/>
        <v>209.34134615384616</v>
      </c>
      <c r="Q850" s="11">
        <f t="shared" si="138"/>
        <v>837.36538461538464</v>
      </c>
      <c r="R850" s="8">
        <v>47964</v>
      </c>
      <c r="S850" s="11">
        <f t="shared" si="139"/>
        <v>55197</v>
      </c>
      <c r="T850" s="20">
        <f>S850/median_percentile!$B$1</f>
        <v>1.0952111669990179</v>
      </c>
      <c r="U850" s="24" t="str" cm="1">
        <f t="array" ref="U850">_xlfn.IFS(T850&lt;1,"underpaid",T850&gt;1,"overpaid",T850=1,"median pay")</f>
        <v>overpaid</v>
      </c>
      <c r="V850" s="5"/>
    </row>
    <row r="851" spans="1:22" x14ac:dyDescent="0.3">
      <c r="A851" s="22" t="s">
        <v>862</v>
      </c>
      <c r="B851" s="12" t="s">
        <v>1861</v>
      </c>
      <c r="C851" s="12" t="s">
        <v>2016</v>
      </c>
      <c r="D851" s="13">
        <v>43730</v>
      </c>
      <c r="E851" s="14">
        <f t="shared" si="130"/>
        <v>660252</v>
      </c>
      <c r="F851" s="12">
        <v>48038</v>
      </c>
      <c r="G851" s="12">
        <v>6983</v>
      </c>
      <c r="H851" s="15">
        <f t="shared" si="131"/>
        <v>24019</v>
      </c>
      <c r="I851" s="15">
        <f t="shared" si="132"/>
        <v>9607.6</v>
      </c>
      <c r="J851" s="15">
        <f t="shared" si="133"/>
        <v>14411.400000000001</v>
      </c>
      <c r="K851" s="15">
        <f t="shared" si="134"/>
        <v>2882.2799999999997</v>
      </c>
      <c r="L851" s="12">
        <v>200</v>
      </c>
      <c r="M851" s="12">
        <f t="shared" si="135"/>
        <v>208</v>
      </c>
      <c r="N851" s="15">
        <v>3</v>
      </c>
      <c r="O851" s="15">
        <f t="shared" si="136"/>
        <v>115.47596153846153</v>
      </c>
      <c r="P851" s="15">
        <f t="shared" si="137"/>
        <v>230.95192307692307</v>
      </c>
      <c r="Q851" s="15">
        <f t="shared" si="138"/>
        <v>692.85576923076917</v>
      </c>
      <c r="R851" s="12">
        <v>51939</v>
      </c>
      <c r="S851" s="15">
        <f t="shared" si="139"/>
        <v>58922</v>
      </c>
      <c r="T851" s="20">
        <f>S851/median_percentile!$B$1</f>
        <v>1.1691220968878042</v>
      </c>
      <c r="U851" s="24" t="str" cm="1">
        <f t="array" ref="U851">_xlfn.IFS(T851&lt;1,"underpaid",T851&gt;1,"overpaid",T851=1,"median pay")</f>
        <v>overpaid</v>
      </c>
      <c r="V851" s="5"/>
    </row>
    <row r="852" spans="1:22" x14ac:dyDescent="0.3">
      <c r="A852" s="21" t="s">
        <v>863</v>
      </c>
      <c r="B852" s="8" t="s">
        <v>1862</v>
      </c>
      <c r="C852" s="8" t="s">
        <v>2012</v>
      </c>
      <c r="D852" s="9">
        <v>45165</v>
      </c>
      <c r="E852" s="10">
        <f t="shared" si="130"/>
        <v>543756</v>
      </c>
      <c r="F852" s="8">
        <v>40325</v>
      </c>
      <c r="G852" s="8">
        <v>4988</v>
      </c>
      <c r="H852" s="11">
        <f t="shared" si="131"/>
        <v>20162.5</v>
      </c>
      <c r="I852" s="11">
        <f t="shared" si="132"/>
        <v>8065</v>
      </c>
      <c r="J852" s="11">
        <f t="shared" si="133"/>
        <v>12097.5</v>
      </c>
      <c r="K852" s="11">
        <f t="shared" si="134"/>
        <v>2419.5</v>
      </c>
      <c r="L852" s="8">
        <v>200</v>
      </c>
      <c r="M852" s="8">
        <f t="shared" si="135"/>
        <v>208</v>
      </c>
      <c r="N852" s="11">
        <v>0</v>
      </c>
      <c r="O852" s="11">
        <f t="shared" si="136"/>
        <v>96.93509615384616</v>
      </c>
      <c r="P852" s="11">
        <f t="shared" si="137"/>
        <v>193.87019230769232</v>
      </c>
      <c r="Q852" s="11">
        <f t="shared" si="138"/>
        <v>0</v>
      </c>
      <c r="R852" s="8">
        <v>42694</v>
      </c>
      <c r="S852" s="11">
        <f t="shared" si="139"/>
        <v>47682</v>
      </c>
      <c r="T852" s="20">
        <f>S852/median_percentile!$B$1</f>
        <v>0.94609958629721125</v>
      </c>
      <c r="U852" s="24" t="str" cm="1">
        <f t="array" ref="U852">_xlfn.IFS(T852&lt;1,"underpaid",T852&gt;1,"overpaid",T852=1,"median pay")</f>
        <v>underpaid</v>
      </c>
      <c r="V852" s="5"/>
    </row>
    <row r="853" spans="1:22" x14ac:dyDescent="0.3">
      <c r="A853" s="22" t="s">
        <v>864</v>
      </c>
      <c r="B853" s="12" t="s">
        <v>1863</v>
      </c>
      <c r="C853" s="12" t="s">
        <v>2011</v>
      </c>
      <c r="D853" s="13">
        <v>45770</v>
      </c>
      <c r="E853" s="14">
        <f t="shared" si="130"/>
        <v>422760</v>
      </c>
      <c r="F853" s="12">
        <v>31360</v>
      </c>
      <c r="G853" s="12">
        <v>3870</v>
      </c>
      <c r="H853" s="15">
        <f t="shared" si="131"/>
        <v>15680</v>
      </c>
      <c r="I853" s="15">
        <f t="shared" si="132"/>
        <v>6272</v>
      </c>
      <c r="J853" s="15">
        <f t="shared" si="133"/>
        <v>9408</v>
      </c>
      <c r="K853" s="15">
        <f t="shared" si="134"/>
        <v>1881.6</v>
      </c>
      <c r="L853" s="12">
        <v>200</v>
      </c>
      <c r="M853" s="12">
        <f t="shared" si="135"/>
        <v>208</v>
      </c>
      <c r="N853" s="15">
        <v>3</v>
      </c>
      <c r="O853" s="15">
        <f t="shared" si="136"/>
        <v>75.384615384615387</v>
      </c>
      <c r="P853" s="15">
        <f t="shared" si="137"/>
        <v>150.76923076923077</v>
      </c>
      <c r="Q853" s="15">
        <f t="shared" si="138"/>
        <v>452.30769230769232</v>
      </c>
      <c r="R853" s="12">
        <v>33410</v>
      </c>
      <c r="S853" s="15">
        <f t="shared" si="139"/>
        <v>37280</v>
      </c>
      <c r="T853" s="20">
        <f>S853/median_percentile!$B$1</f>
        <v>0.73970455469904861</v>
      </c>
      <c r="U853" s="24" t="str" cm="1">
        <f t="array" ref="U853">_xlfn.IFS(T853&lt;1,"underpaid",T853&gt;1,"overpaid",T853=1,"median pay")</f>
        <v>underpaid</v>
      </c>
      <c r="V853" s="5"/>
    </row>
    <row r="854" spans="1:22" x14ac:dyDescent="0.3">
      <c r="A854" s="21" t="s">
        <v>865</v>
      </c>
      <c r="B854" s="8" t="s">
        <v>1864</v>
      </c>
      <c r="C854" s="8" t="s">
        <v>2016</v>
      </c>
      <c r="D854" s="9">
        <v>43781</v>
      </c>
      <c r="E854" s="10">
        <f t="shared" si="130"/>
        <v>649332</v>
      </c>
      <c r="F854" s="8">
        <v>48205</v>
      </c>
      <c r="G854" s="8">
        <v>5906</v>
      </c>
      <c r="H854" s="11">
        <f t="shared" si="131"/>
        <v>24102.5</v>
      </c>
      <c r="I854" s="11">
        <f t="shared" si="132"/>
        <v>9641</v>
      </c>
      <c r="J854" s="11">
        <f t="shared" si="133"/>
        <v>14461.5</v>
      </c>
      <c r="K854" s="11">
        <f t="shared" si="134"/>
        <v>2892.2999999999997</v>
      </c>
      <c r="L854" s="8">
        <v>200</v>
      </c>
      <c r="M854" s="8">
        <f t="shared" si="135"/>
        <v>208</v>
      </c>
      <c r="N854" s="11">
        <v>4</v>
      </c>
      <c r="O854" s="11">
        <f t="shared" si="136"/>
        <v>115.87740384615384</v>
      </c>
      <c r="P854" s="11">
        <f t="shared" si="137"/>
        <v>231.75480769230768</v>
      </c>
      <c r="Q854" s="11">
        <f t="shared" si="138"/>
        <v>927.01923076923072</v>
      </c>
      <c r="R854" s="8">
        <v>51019</v>
      </c>
      <c r="S854" s="11">
        <f t="shared" si="139"/>
        <v>56925</v>
      </c>
      <c r="T854" s="20">
        <f>S854/median_percentile!$B$1</f>
        <v>1.1294979017232656</v>
      </c>
      <c r="U854" s="24" t="str" cm="1">
        <f t="array" ref="U854">_xlfn.IFS(T854&lt;1,"underpaid",T854&gt;1,"overpaid",T854=1,"median pay")</f>
        <v>overpaid</v>
      </c>
      <c r="V854" s="5"/>
    </row>
    <row r="855" spans="1:22" x14ac:dyDescent="0.3">
      <c r="A855" s="22" t="s">
        <v>866</v>
      </c>
      <c r="B855" s="12" t="s">
        <v>1865</v>
      </c>
      <c r="C855" s="12" t="s">
        <v>2012</v>
      </c>
      <c r="D855" s="13">
        <v>44866</v>
      </c>
      <c r="E855" s="14">
        <f t="shared" si="130"/>
        <v>629976</v>
      </c>
      <c r="F855" s="12">
        <v>45898</v>
      </c>
      <c r="G855" s="12">
        <v>6600</v>
      </c>
      <c r="H855" s="15">
        <f t="shared" si="131"/>
        <v>22949</v>
      </c>
      <c r="I855" s="15">
        <f t="shared" si="132"/>
        <v>9179.6</v>
      </c>
      <c r="J855" s="15">
        <f t="shared" si="133"/>
        <v>13769.400000000001</v>
      </c>
      <c r="K855" s="15">
        <f t="shared" si="134"/>
        <v>2753.88</v>
      </c>
      <c r="L855" s="12">
        <v>200</v>
      </c>
      <c r="M855" s="12">
        <f t="shared" si="135"/>
        <v>208</v>
      </c>
      <c r="N855" s="15">
        <v>0</v>
      </c>
      <c r="O855" s="15">
        <f t="shared" si="136"/>
        <v>110.33173076923077</v>
      </c>
      <c r="P855" s="15">
        <f t="shared" si="137"/>
        <v>220.66346153846155</v>
      </c>
      <c r="Q855" s="15">
        <f t="shared" si="138"/>
        <v>0</v>
      </c>
      <c r="R855" s="12">
        <v>49545</v>
      </c>
      <c r="S855" s="15">
        <f t="shared" si="139"/>
        <v>56145</v>
      </c>
      <c r="T855" s="20">
        <f>S855/median_percentile!$B$1</f>
        <v>1.1140212506324594</v>
      </c>
      <c r="U855" s="24" t="str" cm="1">
        <f t="array" ref="U855">_xlfn.IFS(T855&lt;1,"underpaid",T855&gt;1,"overpaid",T855=1,"median pay")</f>
        <v>overpaid</v>
      </c>
      <c r="V855" s="5"/>
    </row>
    <row r="856" spans="1:22" x14ac:dyDescent="0.3">
      <c r="A856" s="21" t="s">
        <v>867</v>
      </c>
      <c r="B856" s="8" t="s">
        <v>1866</v>
      </c>
      <c r="C856" s="8" t="s">
        <v>2013</v>
      </c>
      <c r="D856" s="9">
        <v>44769</v>
      </c>
      <c r="E856" s="10">
        <f t="shared" si="130"/>
        <v>607812</v>
      </c>
      <c r="F856" s="8">
        <v>44906</v>
      </c>
      <c r="G856" s="8">
        <v>5745</v>
      </c>
      <c r="H856" s="11">
        <f t="shared" si="131"/>
        <v>22453</v>
      </c>
      <c r="I856" s="11">
        <f t="shared" si="132"/>
        <v>8981.2000000000007</v>
      </c>
      <c r="J856" s="11">
        <f t="shared" si="133"/>
        <v>13471.8</v>
      </c>
      <c r="K856" s="11">
        <f t="shared" si="134"/>
        <v>2694.36</v>
      </c>
      <c r="L856" s="8">
        <v>200</v>
      </c>
      <c r="M856" s="8">
        <f t="shared" si="135"/>
        <v>208</v>
      </c>
      <c r="N856" s="11">
        <v>4</v>
      </c>
      <c r="O856" s="11">
        <f t="shared" si="136"/>
        <v>107.94711538461539</v>
      </c>
      <c r="P856" s="11">
        <f t="shared" si="137"/>
        <v>215.89423076923077</v>
      </c>
      <c r="Q856" s="11">
        <f t="shared" si="138"/>
        <v>863.57692307692309</v>
      </c>
      <c r="R856" s="8">
        <v>48131</v>
      </c>
      <c r="S856" s="11">
        <f t="shared" si="139"/>
        <v>53876</v>
      </c>
      <c r="T856" s="20">
        <f>S856/median_percentile!$B$1</f>
        <v>1.0690000694465114</v>
      </c>
      <c r="U856" s="24" t="str" cm="1">
        <f t="array" ref="U856">_xlfn.IFS(T856&lt;1,"underpaid",T856&gt;1,"overpaid",T856=1,"median pay")</f>
        <v>overpaid</v>
      </c>
      <c r="V856" s="5"/>
    </row>
    <row r="857" spans="1:22" x14ac:dyDescent="0.3">
      <c r="A857" s="22" t="s">
        <v>868</v>
      </c>
      <c r="B857" s="12" t="s">
        <v>1867</v>
      </c>
      <c r="C857" s="12" t="s">
        <v>2016</v>
      </c>
      <c r="D857" s="13">
        <v>45721</v>
      </c>
      <c r="E857" s="14">
        <f t="shared" si="130"/>
        <v>502572</v>
      </c>
      <c r="F857" s="12">
        <v>37483</v>
      </c>
      <c r="G857" s="12">
        <v>4398</v>
      </c>
      <c r="H857" s="15">
        <f t="shared" si="131"/>
        <v>18741.5</v>
      </c>
      <c r="I857" s="15">
        <f t="shared" si="132"/>
        <v>7496.6</v>
      </c>
      <c r="J857" s="15">
        <f t="shared" si="133"/>
        <v>11244.900000000001</v>
      </c>
      <c r="K857" s="15">
        <f t="shared" si="134"/>
        <v>2248.98</v>
      </c>
      <c r="L857" s="12">
        <v>200</v>
      </c>
      <c r="M857" s="12">
        <f t="shared" si="135"/>
        <v>208</v>
      </c>
      <c r="N857" s="15">
        <v>3</v>
      </c>
      <c r="O857" s="15">
        <f t="shared" si="136"/>
        <v>90.103365384615387</v>
      </c>
      <c r="P857" s="15">
        <f t="shared" si="137"/>
        <v>180.20673076923077</v>
      </c>
      <c r="Q857" s="15">
        <f t="shared" si="138"/>
        <v>540.62019230769238</v>
      </c>
      <c r="R857" s="12">
        <v>40057</v>
      </c>
      <c r="S857" s="15">
        <f t="shared" si="139"/>
        <v>44455</v>
      </c>
      <c r="T857" s="20">
        <f>S857/median_percentile!$B$1</f>
        <v>0.88206990287409348</v>
      </c>
      <c r="U857" s="24" t="str" cm="1">
        <f t="array" ref="U857">_xlfn.IFS(T857&lt;1,"underpaid",T857&gt;1,"overpaid",T857=1,"median pay")</f>
        <v>underpaid</v>
      </c>
      <c r="V857" s="5"/>
    </row>
    <row r="858" spans="1:22" x14ac:dyDescent="0.3">
      <c r="A858" s="21" t="s">
        <v>869</v>
      </c>
      <c r="B858" s="8" t="s">
        <v>1868</v>
      </c>
      <c r="C858" s="8" t="s">
        <v>2014</v>
      </c>
      <c r="D858" s="9">
        <v>44356</v>
      </c>
      <c r="E858" s="10">
        <f t="shared" si="130"/>
        <v>863676</v>
      </c>
      <c r="F858" s="8">
        <v>62280</v>
      </c>
      <c r="G858" s="8">
        <v>9693</v>
      </c>
      <c r="H858" s="11">
        <f t="shared" si="131"/>
        <v>31140</v>
      </c>
      <c r="I858" s="11">
        <f t="shared" si="132"/>
        <v>12456</v>
      </c>
      <c r="J858" s="11">
        <f t="shared" si="133"/>
        <v>18684</v>
      </c>
      <c r="K858" s="11">
        <f t="shared" si="134"/>
        <v>3736.7999999999997</v>
      </c>
      <c r="L858" s="8">
        <v>200</v>
      </c>
      <c r="M858" s="8">
        <f t="shared" si="135"/>
        <v>208</v>
      </c>
      <c r="N858" s="11">
        <v>4</v>
      </c>
      <c r="O858" s="11">
        <f t="shared" si="136"/>
        <v>149.71153846153845</v>
      </c>
      <c r="P858" s="11">
        <f t="shared" si="137"/>
        <v>299.42307692307691</v>
      </c>
      <c r="Q858" s="11">
        <f t="shared" si="138"/>
        <v>1197.6923076923076</v>
      </c>
      <c r="R858" s="8">
        <v>68556</v>
      </c>
      <c r="S858" s="11">
        <f t="shared" si="139"/>
        <v>78249</v>
      </c>
      <c r="T858" s="20">
        <f>S858/median_percentile!$B$1</f>
        <v>1.5526057323134617</v>
      </c>
      <c r="U858" s="24" t="str" cm="1">
        <f t="array" ref="U858">_xlfn.IFS(T858&lt;1,"underpaid",T858&gt;1,"overpaid",T858=1,"median pay")</f>
        <v>overpaid</v>
      </c>
      <c r="V858" s="5"/>
    </row>
    <row r="859" spans="1:22" x14ac:dyDescent="0.3">
      <c r="A859" s="22" t="s">
        <v>870</v>
      </c>
      <c r="B859" s="12" t="s">
        <v>1869</v>
      </c>
      <c r="C859" s="12" t="s">
        <v>2011</v>
      </c>
      <c r="D859" s="13">
        <v>45851</v>
      </c>
      <c r="E859" s="14">
        <f t="shared" si="130"/>
        <v>328620</v>
      </c>
      <c r="F859" s="12">
        <v>23259</v>
      </c>
      <c r="G859" s="12">
        <v>4126</v>
      </c>
      <c r="H859" s="15">
        <f t="shared" si="131"/>
        <v>11629.5</v>
      </c>
      <c r="I859" s="15">
        <f t="shared" si="132"/>
        <v>4651.8</v>
      </c>
      <c r="J859" s="15">
        <f t="shared" si="133"/>
        <v>6977.7000000000007</v>
      </c>
      <c r="K859" s="15">
        <f t="shared" si="134"/>
        <v>1395.54</v>
      </c>
      <c r="L859" s="12">
        <v>200</v>
      </c>
      <c r="M859" s="12">
        <f t="shared" si="135"/>
        <v>208</v>
      </c>
      <c r="N859" s="15">
        <v>1</v>
      </c>
      <c r="O859" s="15">
        <f t="shared" si="136"/>
        <v>55.911057692307693</v>
      </c>
      <c r="P859" s="15">
        <f t="shared" si="137"/>
        <v>111.82211538461539</v>
      </c>
      <c r="Q859" s="15">
        <f t="shared" si="138"/>
        <v>111.82211538461539</v>
      </c>
      <c r="R859" s="12">
        <v>26177</v>
      </c>
      <c r="S859" s="15">
        <f t="shared" si="139"/>
        <v>30303</v>
      </c>
      <c r="T859" s="20">
        <f>S859/median_percentile!$B$1</f>
        <v>0.60126789487782373</v>
      </c>
      <c r="U859" s="24" t="str" cm="1">
        <f t="array" ref="U859">_xlfn.IFS(T859&lt;1,"underpaid",T859&gt;1,"overpaid",T859=1,"median pay")</f>
        <v>underpaid</v>
      </c>
      <c r="V859" s="5"/>
    </row>
    <row r="860" spans="1:22" x14ac:dyDescent="0.3">
      <c r="A860" s="21" t="s">
        <v>871</v>
      </c>
      <c r="B860" s="8" t="s">
        <v>1870</v>
      </c>
      <c r="C860" s="8" t="s">
        <v>2015</v>
      </c>
      <c r="D860" s="9">
        <v>45720</v>
      </c>
      <c r="E860" s="10">
        <f t="shared" si="130"/>
        <v>428532</v>
      </c>
      <c r="F860" s="8">
        <v>29938</v>
      </c>
      <c r="G860" s="8">
        <v>5773</v>
      </c>
      <c r="H860" s="11">
        <f t="shared" si="131"/>
        <v>14969</v>
      </c>
      <c r="I860" s="11">
        <f t="shared" si="132"/>
        <v>5987.6</v>
      </c>
      <c r="J860" s="11">
        <f t="shared" si="133"/>
        <v>8981.4000000000015</v>
      </c>
      <c r="K860" s="11">
        <f t="shared" si="134"/>
        <v>1796.28</v>
      </c>
      <c r="L860" s="8">
        <v>200</v>
      </c>
      <c r="M860" s="8">
        <f t="shared" si="135"/>
        <v>208</v>
      </c>
      <c r="N860" s="11">
        <v>1</v>
      </c>
      <c r="O860" s="11">
        <f t="shared" si="136"/>
        <v>71.96634615384616</v>
      </c>
      <c r="P860" s="11">
        <f t="shared" si="137"/>
        <v>143.93269230769232</v>
      </c>
      <c r="Q860" s="11">
        <f t="shared" si="138"/>
        <v>143.93269230769232</v>
      </c>
      <c r="R860" s="8">
        <v>33715</v>
      </c>
      <c r="S860" s="11">
        <f t="shared" si="139"/>
        <v>39488</v>
      </c>
      <c r="T860" s="20">
        <f>S860/median_percentile!$B$1</f>
        <v>0.78351538240225405</v>
      </c>
      <c r="U860" s="24" t="str" cm="1">
        <f t="array" ref="U860">_xlfn.IFS(T860&lt;1,"underpaid",T860&gt;1,"overpaid",T860=1,"median pay")</f>
        <v>underpaid</v>
      </c>
      <c r="V860" s="5"/>
    </row>
    <row r="861" spans="1:22" x14ac:dyDescent="0.3">
      <c r="A861" s="22" t="s">
        <v>872</v>
      </c>
      <c r="B861" s="12" t="s">
        <v>1871</v>
      </c>
      <c r="C861" s="12" t="s">
        <v>2016</v>
      </c>
      <c r="D861" s="13">
        <v>45107</v>
      </c>
      <c r="E861" s="14">
        <f t="shared" si="130"/>
        <v>659784</v>
      </c>
      <c r="F861" s="12">
        <v>47760</v>
      </c>
      <c r="G861" s="12">
        <v>7222</v>
      </c>
      <c r="H861" s="15">
        <f t="shared" si="131"/>
        <v>23880</v>
      </c>
      <c r="I861" s="15">
        <f t="shared" si="132"/>
        <v>9552</v>
      </c>
      <c r="J861" s="15">
        <f t="shared" si="133"/>
        <v>14328</v>
      </c>
      <c r="K861" s="15">
        <f t="shared" si="134"/>
        <v>2865.6</v>
      </c>
      <c r="L861" s="12">
        <v>200</v>
      </c>
      <c r="M861" s="12">
        <f t="shared" si="135"/>
        <v>208</v>
      </c>
      <c r="N861" s="15">
        <v>4</v>
      </c>
      <c r="O861" s="15">
        <f t="shared" si="136"/>
        <v>114.80769230769231</v>
      </c>
      <c r="P861" s="15">
        <f t="shared" si="137"/>
        <v>229.61538461538461</v>
      </c>
      <c r="Q861" s="15">
        <f t="shared" si="138"/>
        <v>918.46153846153845</v>
      </c>
      <c r="R861" s="12">
        <v>52713</v>
      </c>
      <c r="S861" s="15">
        <f t="shared" si="139"/>
        <v>59935</v>
      </c>
      <c r="T861" s="20">
        <f>S861/median_percentile!$B$1</f>
        <v>1.1892219014454795</v>
      </c>
      <c r="U861" s="24" t="str" cm="1">
        <f t="array" ref="U861">_xlfn.IFS(T861&lt;1,"underpaid",T861&gt;1,"overpaid",T861=1,"median pay")</f>
        <v>overpaid</v>
      </c>
      <c r="V861" s="5"/>
    </row>
    <row r="862" spans="1:22" x14ac:dyDescent="0.3">
      <c r="A862" s="21" t="s">
        <v>873</v>
      </c>
      <c r="B862" s="8" t="s">
        <v>1872</v>
      </c>
      <c r="C862" s="8" t="s">
        <v>2013</v>
      </c>
      <c r="D862" s="9">
        <v>45491</v>
      </c>
      <c r="E862" s="10">
        <f t="shared" si="130"/>
        <v>558492</v>
      </c>
      <c r="F862" s="8">
        <v>39911</v>
      </c>
      <c r="G862" s="8">
        <v>6630</v>
      </c>
      <c r="H862" s="11">
        <f t="shared" si="131"/>
        <v>19955.5</v>
      </c>
      <c r="I862" s="11">
        <f t="shared" si="132"/>
        <v>7982.2000000000007</v>
      </c>
      <c r="J862" s="11">
        <f t="shared" si="133"/>
        <v>11973.3</v>
      </c>
      <c r="K862" s="11">
        <f t="shared" si="134"/>
        <v>2394.66</v>
      </c>
      <c r="L862" s="8">
        <v>200</v>
      </c>
      <c r="M862" s="8">
        <f t="shared" si="135"/>
        <v>208</v>
      </c>
      <c r="N862" s="11">
        <v>3</v>
      </c>
      <c r="O862" s="11">
        <f t="shared" si="136"/>
        <v>95.93990384615384</v>
      </c>
      <c r="P862" s="11">
        <f t="shared" si="137"/>
        <v>191.87980769230768</v>
      </c>
      <c r="Q862" s="11">
        <f t="shared" si="138"/>
        <v>575.63942307692309</v>
      </c>
      <c r="R862" s="8">
        <v>44612</v>
      </c>
      <c r="S862" s="11">
        <f t="shared" si="139"/>
        <v>51242</v>
      </c>
      <c r="T862" s="20">
        <f>S862/median_percentile!$B$1</f>
        <v>1.0167366092244809</v>
      </c>
      <c r="U862" s="24" t="str" cm="1">
        <f t="array" ref="U862">_xlfn.IFS(T862&lt;1,"underpaid",T862&gt;1,"overpaid",T862=1,"median pay")</f>
        <v>overpaid</v>
      </c>
      <c r="V862" s="5"/>
    </row>
    <row r="863" spans="1:22" x14ac:dyDescent="0.3">
      <c r="A863" s="22" t="s">
        <v>874</v>
      </c>
      <c r="B863" s="12" t="s">
        <v>1873</v>
      </c>
      <c r="C863" s="12" t="s">
        <v>2011</v>
      </c>
      <c r="D863" s="13">
        <v>45168</v>
      </c>
      <c r="E863" s="14">
        <f t="shared" si="130"/>
        <v>400440</v>
      </c>
      <c r="F863" s="12">
        <v>29029</v>
      </c>
      <c r="G863" s="12">
        <v>4341</v>
      </c>
      <c r="H863" s="15">
        <f t="shared" si="131"/>
        <v>14514.5</v>
      </c>
      <c r="I863" s="15">
        <f t="shared" si="132"/>
        <v>5805.8</v>
      </c>
      <c r="J863" s="15">
        <f t="shared" si="133"/>
        <v>8708.7000000000007</v>
      </c>
      <c r="K863" s="15">
        <f t="shared" si="134"/>
        <v>1741.74</v>
      </c>
      <c r="L863" s="12">
        <v>200</v>
      </c>
      <c r="M863" s="12">
        <f t="shared" si="135"/>
        <v>208</v>
      </c>
      <c r="N863" s="15">
        <v>1</v>
      </c>
      <c r="O863" s="15">
        <f t="shared" si="136"/>
        <v>69.78125</v>
      </c>
      <c r="P863" s="15">
        <f t="shared" si="137"/>
        <v>139.5625</v>
      </c>
      <c r="Q863" s="15">
        <f t="shared" si="138"/>
        <v>139.5625</v>
      </c>
      <c r="R863" s="12">
        <v>31429</v>
      </c>
      <c r="S863" s="15">
        <f t="shared" si="139"/>
        <v>35770</v>
      </c>
      <c r="T863" s="20">
        <f>S863/median_percentile!$B$1</f>
        <v>0.70974334553607743</v>
      </c>
      <c r="U863" s="24" t="str" cm="1">
        <f t="array" ref="U863">_xlfn.IFS(T863&lt;1,"underpaid",T863&gt;1,"overpaid",T863=1,"median pay")</f>
        <v>underpaid</v>
      </c>
      <c r="V863" s="5"/>
    </row>
    <row r="864" spans="1:22" x14ac:dyDescent="0.3">
      <c r="A864" s="21" t="s">
        <v>875</v>
      </c>
      <c r="B864" s="8" t="s">
        <v>1874</v>
      </c>
      <c r="C864" s="8" t="s">
        <v>2014</v>
      </c>
      <c r="D864" s="9">
        <v>44918</v>
      </c>
      <c r="E864" s="10">
        <f t="shared" si="130"/>
        <v>678336</v>
      </c>
      <c r="F864" s="8">
        <v>47298</v>
      </c>
      <c r="G864" s="8">
        <v>9230</v>
      </c>
      <c r="H864" s="11">
        <f t="shared" si="131"/>
        <v>23649</v>
      </c>
      <c r="I864" s="11">
        <f t="shared" si="132"/>
        <v>9459.6</v>
      </c>
      <c r="J864" s="11">
        <f t="shared" si="133"/>
        <v>14189.400000000001</v>
      </c>
      <c r="K864" s="11">
        <f t="shared" si="134"/>
        <v>2837.88</v>
      </c>
      <c r="L864" s="8">
        <v>200</v>
      </c>
      <c r="M864" s="8">
        <f t="shared" si="135"/>
        <v>208</v>
      </c>
      <c r="N864" s="11">
        <v>0</v>
      </c>
      <c r="O864" s="11">
        <f t="shared" si="136"/>
        <v>113.69711538461539</v>
      </c>
      <c r="P864" s="11">
        <f t="shared" si="137"/>
        <v>227.39423076923077</v>
      </c>
      <c r="Q864" s="11">
        <f t="shared" si="138"/>
        <v>0</v>
      </c>
      <c r="R864" s="8">
        <v>53885</v>
      </c>
      <c r="S864" s="11">
        <f t="shared" si="139"/>
        <v>63115</v>
      </c>
      <c r="T864" s="20">
        <f>S864/median_percentile!$B$1</f>
        <v>1.2523190174310743</v>
      </c>
      <c r="U864" s="24" t="str" cm="1">
        <f t="array" ref="U864">_xlfn.IFS(T864&lt;1,"underpaid",T864&gt;1,"overpaid",T864=1,"median pay")</f>
        <v>overpaid</v>
      </c>
      <c r="V864" s="5"/>
    </row>
    <row r="865" spans="1:22" x14ac:dyDescent="0.3">
      <c r="A865" s="22" t="s">
        <v>876</v>
      </c>
      <c r="B865" s="12" t="s">
        <v>1875</v>
      </c>
      <c r="C865" s="12" t="s">
        <v>2013</v>
      </c>
      <c r="D865" s="13">
        <v>44707</v>
      </c>
      <c r="E865" s="14">
        <f t="shared" si="130"/>
        <v>594372</v>
      </c>
      <c r="F865" s="12">
        <v>44510</v>
      </c>
      <c r="G865" s="12">
        <v>5021</v>
      </c>
      <c r="H865" s="15">
        <f t="shared" si="131"/>
        <v>22255</v>
      </c>
      <c r="I865" s="15">
        <f t="shared" si="132"/>
        <v>8902</v>
      </c>
      <c r="J865" s="15">
        <f t="shared" si="133"/>
        <v>13353</v>
      </c>
      <c r="K865" s="15">
        <f t="shared" si="134"/>
        <v>2670.6</v>
      </c>
      <c r="L865" s="12">
        <v>200</v>
      </c>
      <c r="M865" s="12">
        <f t="shared" si="135"/>
        <v>208</v>
      </c>
      <c r="N865" s="15">
        <v>0</v>
      </c>
      <c r="O865" s="15">
        <f t="shared" si="136"/>
        <v>106.99519230769231</v>
      </c>
      <c r="P865" s="15">
        <f t="shared" si="137"/>
        <v>213.99038461538461</v>
      </c>
      <c r="Q865" s="15">
        <f t="shared" si="138"/>
        <v>0</v>
      </c>
      <c r="R865" s="12">
        <v>47031</v>
      </c>
      <c r="S865" s="15">
        <f t="shared" si="139"/>
        <v>52052</v>
      </c>
      <c r="T865" s="20">
        <f>S865/median_percentile!$B$1</f>
        <v>1.032808516126472</v>
      </c>
      <c r="U865" s="24" t="str" cm="1">
        <f t="array" ref="U865">_xlfn.IFS(T865&lt;1,"underpaid",T865&gt;1,"overpaid",T865=1,"median pay")</f>
        <v>overpaid</v>
      </c>
      <c r="V865" s="5"/>
    </row>
    <row r="866" spans="1:22" x14ac:dyDescent="0.3">
      <c r="A866" s="21" t="s">
        <v>877</v>
      </c>
      <c r="B866" s="8" t="s">
        <v>1876</v>
      </c>
      <c r="C866" s="8" t="s">
        <v>2014</v>
      </c>
      <c r="D866" s="9">
        <v>45249</v>
      </c>
      <c r="E866" s="10">
        <f t="shared" si="130"/>
        <v>712080</v>
      </c>
      <c r="F866" s="8">
        <v>50328</v>
      </c>
      <c r="G866" s="8">
        <v>9012</v>
      </c>
      <c r="H866" s="11">
        <f t="shared" si="131"/>
        <v>25164</v>
      </c>
      <c r="I866" s="11">
        <f t="shared" si="132"/>
        <v>10065.6</v>
      </c>
      <c r="J866" s="11">
        <f t="shared" si="133"/>
        <v>15098.400000000001</v>
      </c>
      <c r="K866" s="11">
        <f t="shared" si="134"/>
        <v>3019.68</v>
      </c>
      <c r="L866" s="8">
        <v>200</v>
      </c>
      <c r="M866" s="8">
        <f t="shared" si="135"/>
        <v>208</v>
      </c>
      <c r="N866" s="11">
        <v>3</v>
      </c>
      <c r="O866" s="11">
        <f t="shared" si="136"/>
        <v>120.98076923076923</v>
      </c>
      <c r="P866" s="11">
        <f t="shared" si="137"/>
        <v>241.96153846153845</v>
      </c>
      <c r="Q866" s="11">
        <f t="shared" si="138"/>
        <v>725.88461538461536</v>
      </c>
      <c r="R866" s="8">
        <v>56959</v>
      </c>
      <c r="S866" s="11">
        <f t="shared" si="139"/>
        <v>65971</v>
      </c>
      <c r="T866" s="20">
        <f>S866/median_percentile!$B$1</f>
        <v>1.3089873706558728</v>
      </c>
      <c r="U866" s="24" t="str" cm="1">
        <f t="array" ref="U866">_xlfn.IFS(T866&lt;1,"underpaid",T866&gt;1,"overpaid",T866=1,"median pay")</f>
        <v>overpaid</v>
      </c>
      <c r="V866" s="5"/>
    </row>
    <row r="867" spans="1:22" x14ac:dyDescent="0.3">
      <c r="A867" s="22" t="s">
        <v>878</v>
      </c>
      <c r="B867" s="12" t="s">
        <v>1877</v>
      </c>
      <c r="C867" s="12" t="s">
        <v>2013</v>
      </c>
      <c r="D867" s="13">
        <v>43783</v>
      </c>
      <c r="E867" s="14">
        <f t="shared" si="130"/>
        <v>505896</v>
      </c>
      <c r="F867" s="12">
        <v>36571</v>
      </c>
      <c r="G867" s="12">
        <v>5587</v>
      </c>
      <c r="H867" s="15">
        <f t="shared" si="131"/>
        <v>18285.5</v>
      </c>
      <c r="I867" s="15">
        <f t="shared" si="132"/>
        <v>7314.2000000000007</v>
      </c>
      <c r="J867" s="15">
        <f t="shared" si="133"/>
        <v>10971.3</v>
      </c>
      <c r="K867" s="15">
        <f t="shared" si="134"/>
        <v>2194.2599999999998</v>
      </c>
      <c r="L867" s="12">
        <v>200</v>
      </c>
      <c r="M867" s="12">
        <f t="shared" si="135"/>
        <v>208</v>
      </c>
      <c r="N867" s="15">
        <v>1</v>
      </c>
      <c r="O867" s="15">
        <f t="shared" si="136"/>
        <v>87.911057692307693</v>
      </c>
      <c r="P867" s="15">
        <f t="shared" si="137"/>
        <v>175.82211538461539</v>
      </c>
      <c r="Q867" s="15">
        <f t="shared" si="138"/>
        <v>175.82211538461539</v>
      </c>
      <c r="R867" s="12">
        <v>39764</v>
      </c>
      <c r="S867" s="15">
        <f t="shared" si="139"/>
        <v>45351</v>
      </c>
      <c r="T867" s="20">
        <f>S867/median_percentile!$B$1</f>
        <v>0.89984820976814783</v>
      </c>
      <c r="U867" s="24" t="str" cm="1">
        <f t="array" ref="U867">_xlfn.IFS(T867&lt;1,"underpaid",T867&gt;1,"overpaid",T867=1,"median pay")</f>
        <v>underpaid</v>
      </c>
      <c r="V867" s="5"/>
    </row>
    <row r="868" spans="1:22" x14ac:dyDescent="0.3">
      <c r="A868" s="21" t="s">
        <v>879</v>
      </c>
      <c r="B868" s="8" t="s">
        <v>1878</v>
      </c>
      <c r="C868" s="8" t="s">
        <v>2015</v>
      </c>
      <c r="D868" s="9">
        <v>44169</v>
      </c>
      <c r="E868" s="10">
        <f t="shared" si="130"/>
        <v>551220</v>
      </c>
      <c r="F868" s="8">
        <v>38692</v>
      </c>
      <c r="G868" s="8">
        <v>7243</v>
      </c>
      <c r="H868" s="11">
        <f t="shared" si="131"/>
        <v>19346</v>
      </c>
      <c r="I868" s="11">
        <f t="shared" si="132"/>
        <v>7738.4000000000005</v>
      </c>
      <c r="J868" s="11">
        <f t="shared" si="133"/>
        <v>11607.599999999999</v>
      </c>
      <c r="K868" s="11">
        <f t="shared" si="134"/>
        <v>2321.52</v>
      </c>
      <c r="L868" s="8">
        <v>200</v>
      </c>
      <c r="M868" s="8">
        <f t="shared" si="135"/>
        <v>208</v>
      </c>
      <c r="N868" s="11">
        <v>4</v>
      </c>
      <c r="O868" s="11">
        <f t="shared" si="136"/>
        <v>93.009615384615387</v>
      </c>
      <c r="P868" s="11">
        <f t="shared" si="137"/>
        <v>186.01923076923077</v>
      </c>
      <c r="Q868" s="11">
        <f t="shared" si="138"/>
        <v>744.07692307692309</v>
      </c>
      <c r="R868" s="8">
        <v>43736</v>
      </c>
      <c r="S868" s="11">
        <f t="shared" si="139"/>
        <v>50979</v>
      </c>
      <c r="T868" s="20">
        <f>S868/median_percentile!$B$1</f>
        <v>1.0115181999464269</v>
      </c>
      <c r="U868" s="24" t="str" cm="1">
        <f t="array" ref="U868">_xlfn.IFS(T868&lt;1,"underpaid",T868&gt;1,"overpaid",T868=1,"median pay")</f>
        <v>overpaid</v>
      </c>
      <c r="V868" s="5"/>
    </row>
    <row r="869" spans="1:22" x14ac:dyDescent="0.3">
      <c r="A869" s="22" t="s">
        <v>880</v>
      </c>
      <c r="B869" s="12" t="s">
        <v>1879</v>
      </c>
      <c r="C869" s="12" t="s">
        <v>2016</v>
      </c>
      <c r="D869" s="13">
        <v>43774</v>
      </c>
      <c r="E869" s="14">
        <f t="shared" si="130"/>
        <v>630048</v>
      </c>
      <c r="F869" s="12">
        <v>43845</v>
      </c>
      <c r="G869" s="12">
        <v>8659</v>
      </c>
      <c r="H869" s="15">
        <f t="shared" si="131"/>
        <v>21922.5</v>
      </c>
      <c r="I869" s="15">
        <f t="shared" si="132"/>
        <v>8769</v>
      </c>
      <c r="J869" s="15">
        <f t="shared" si="133"/>
        <v>13153.5</v>
      </c>
      <c r="K869" s="15">
        <f t="shared" si="134"/>
        <v>2630.7</v>
      </c>
      <c r="L869" s="12">
        <v>200</v>
      </c>
      <c r="M869" s="12">
        <f t="shared" si="135"/>
        <v>208</v>
      </c>
      <c r="N869" s="15">
        <v>3</v>
      </c>
      <c r="O869" s="15">
        <f t="shared" si="136"/>
        <v>105.39663461538461</v>
      </c>
      <c r="P869" s="15">
        <f t="shared" si="137"/>
        <v>210.79326923076923</v>
      </c>
      <c r="Q869" s="15">
        <f t="shared" si="138"/>
        <v>632.37980769230762</v>
      </c>
      <c r="R869" s="12">
        <v>49674</v>
      </c>
      <c r="S869" s="15">
        <f t="shared" si="139"/>
        <v>58333</v>
      </c>
      <c r="T869" s="20">
        <f>S869/median_percentile!$B$1</f>
        <v>1.1574352411282083</v>
      </c>
      <c r="U869" s="24" t="str" cm="1">
        <f t="array" ref="U869">_xlfn.IFS(T869&lt;1,"underpaid",T869&gt;1,"overpaid",T869=1,"median pay")</f>
        <v>overpaid</v>
      </c>
      <c r="V869" s="5"/>
    </row>
    <row r="870" spans="1:22" x14ac:dyDescent="0.3">
      <c r="A870" s="21" t="s">
        <v>881</v>
      </c>
      <c r="B870" s="8" t="s">
        <v>1880</v>
      </c>
      <c r="C870" s="8" t="s">
        <v>2012</v>
      </c>
      <c r="D870" s="9">
        <v>43800</v>
      </c>
      <c r="E870" s="10">
        <f t="shared" si="130"/>
        <v>529248</v>
      </c>
      <c r="F870" s="8">
        <v>37443</v>
      </c>
      <c r="G870" s="8">
        <v>6661</v>
      </c>
      <c r="H870" s="11">
        <f t="shared" si="131"/>
        <v>18721.5</v>
      </c>
      <c r="I870" s="11">
        <f t="shared" si="132"/>
        <v>7488.6</v>
      </c>
      <c r="J870" s="11">
        <f t="shared" si="133"/>
        <v>11232.900000000001</v>
      </c>
      <c r="K870" s="11">
        <f t="shared" si="134"/>
        <v>2246.58</v>
      </c>
      <c r="L870" s="8">
        <v>200</v>
      </c>
      <c r="M870" s="8">
        <f t="shared" si="135"/>
        <v>208</v>
      </c>
      <c r="N870" s="11">
        <v>4</v>
      </c>
      <c r="O870" s="11">
        <f t="shared" si="136"/>
        <v>90.007211538461533</v>
      </c>
      <c r="P870" s="11">
        <f t="shared" si="137"/>
        <v>180.01442307692307</v>
      </c>
      <c r="Q870" s="11">
        <f t="shared" si="138"/>
        <v>720.05769230769226</v>
      </c>
      <c r="R870" s="8">
        <v>42282</v>
      </c>
      <c r="S870" s="11">
        <f t="shared" si="139"/>
        <v>48943</v>
      </c>
      <c r="T870" s="20">
        <f>S870/median_percentile!$B$1</f>
        <v>0.97112017222734803</v>
      </c>
      <c r="U870" s="24" t="str" cm="1">
        <f t="array" ref="U870">_xlfn.IFS(T870&lt;1,"underpaid",T870&gt;1,"overpaid",T870=1,"median pay")</f>
        <v>underpaid</v>
      </c>
      <c r="V870" s="5"/>
    </row>
    <row r="871" spans="1:22" x14ac:dyDescent="0.3">
      <c r="A871" s="22" t="s">
        <v>882</v>
      </c>
      <c r="B871" s="12" t="s">
        <v>1881</v>
      </c>
      <c r="C871" s="12" t="s">
        <v>2014</v>
      </c>
      <c r="D871" s="13">
        <v>45390</v>
      </c>
      <c r="E871" s="14">
        <f t="shared" si="130"/>
        <v>795936</v>
      </c>
      <c r="F871" s="12">
        <v>58714</v>
      </c>
      <c r="G871" s="12">
        <v>7614</v>
      </c>
      <c r="H871" s="15">
        <f t="shared" si="131"/>
        <v>29357</v>
      </c>
      <c r="I871" s="15">
        <f t="shared" si="132"/>
        <v>11742.800000000001</v>
      </c>
      <c r="J871" s="15">
        <f t="shared" si="133"/>
        <v>17614.199999999997</v>
      </c>
      <c r="K871" s="15">
        <f t="shared" si="134"/>
        <v>3522.8399999999997</v>
      </c>
      <c r="L871" s="12">
        <v>200</v>
      </c>
      <c r="M871" s="12">
        <f t="shared" si="135"/>
        <v>208</v>
      </c>
      <c r="N871" s="15">
        <v>0</v>
      </c>
      <c r="O871" s="15">
        <f t="shared" si="136"/>
        <v>141.13942307692307</v>
      </c>
      <c r="P871" s="15">
        <f t="shared" si="137"/>
        <v>282.27884615384613</v>
      </c>
      <c r="Q871" s="15">
        <f t="shared" si="138"/>
        <v>0</v>
      </c>
      <c r="R871" s="12">
        <v>62606</v>
      </c>
      <c r="S871" s="15">
        <f t="shared" si="139"/>
        <v>70220</v>
      </c>
      <c r="T871" s="20">
        <f>S871/median_percentile!$B$1</f>
        <v>1.3932954353800213</v>
      </c>
      <c r="U871" s="24" t="str" cm="1">
        <f t="array" ref="U871">_xlfn.IFS(T871&lt;1,"underpaid",T871&gt;1,"overpaid",T871=1,"median pay")</f>
        <v>overpaid</v>
      </c>
      <c r="V871" s="5"/>
    </row>
    <row r="872" spans="1:22" x14ac:dyDescent="0.3">
      <c r="A872" s="21" t="s">
        <v>883</v>
      </c>
      <c r="B872" s="8" t="s">
        <v>1882</v>
      </c>
      <c r="C872" s="8" t="s">
        <v>2014</v>
      </c>
      <c r="D872" s="9">
        <v>45272</v>
      </c>
      <c r="E872" s="10">
        <f t="shared" si="130"/>
        <v>1052616</v>
      </c>
      <c r="F872" s="8">
        <v>75243</v>
      </c>
      <c r="G872" s="8">
        <v>12475</v>
      </c>
      <c r="H872" s="11">
        <f t="shared" si="131"/>
        <v>37621.5</v>
      </c>
      <c r="I872" s="11">
        <f t="shared" si="132"/>
        <v>15048.6</v>
      </c>
      <c r="J872" s="11">
        <f t="shared" si="133"/>
        <v>22572.9</v>
      </c>
      <c r="K872" s="11">
        <f t="shared" si="134"/>
        <v>4514.58</v>
      </c>
      <c r="L872" s="8">
        <v>200</v>
      </c>
      <c r="M872" s="8">
        <f t="shared" si="135"/>
        <v>208</v>
      </c>
      <c r="N872" s="11">
        <v>1</v>
      </c>
      <c r="O872" s="11">
        <f t="shared" si="136"/>
        <v>180.87259615384616</v>
      </c>
      <c r="P872" s="11">
        <f t="shared" si="137"/>
        <v>361.74519230769232</v>
      </c>
      <c r="Q872" s="11">
        <f t="shared" si="138"/>
        <v>361.74519230769232</v>
      </c>
      <c r="R872" s="8">
        <v>83004</v>
      </c>
      <c r="S872" s="11">
        <f t="shared" si="139"/>
        <v>95479</v>
      </c>
      <c r="T872" s="20">
        <f>S872/median_percentile!$B$1</f>
        <v>1.8944809865372978</v>
      </c>
      <c r="U872" s="24" t="str" cm="1">
        <f t="array" ref="U872">_xlfn.IFS(T872&lt;1,"underpaid",T872&gt;1,"overpaid",T872=1,"median pay")</f>
        <v>overpaid</v>
      </c>
      <c r="V872" s="5"/>
    </row>
    <row r="873" spans="1:22" x14ac:dyDescent="0.3">
      <c r="A873" s="22" t="s">
        <v>884</v>
      </c>
      <c r="B873" s="12" t="s">
        <v>1883</v>
      </c>
      <c r="C873" s="12" t="s">
        <v>2016</v>
      </c>
      <c r="D873" s="13">
        <v>45267</v>
      </c>
      <c r="E873" s="14">
        <f t="shared" si="130"/>
        <v>604356</v>
      </c>
      <c r="F873" s="12">
        <v>43067</v>
      </c>
      <c r="G873" s="12">
        <v>7296</v>
      </c>
      <c r="H873" s="15">
        <f t="shared" si="131"/>
        <v>21533.5</v>
      </c>
      <c r="I873" s="15">
        <f t="shared" si="132"/>
        <v>8613.4</v>
      </c>
      <c r="J873" s="15">
        <f t="shared" si="133"/>
        <v>12920.099999999999</v>
      </c>
      <c r="K873" s="15">
        <f t="shared" si="134"/>
        <v>2584.02</v>
      </c>
      <c r="L873" s="12">
        <v>200</v>
      </c>
      <c r="M873" s="12">
        <f t="shared" si="135"/>
        <v>208</v>
      </c>
      <c r="N873" s="15">
        <v>1</v>
      </c>
      <c r="O873" s="15">
        <f t="shared" si="136"/>
        <v>103.52644230769231</v>
      </c>
      <c r="P873" s="15">
        <f t="shared" si="137"/>
        <v>207.05288461538461</v>
      </c>
      <c r="Q873" s="15">
        <f t="shared" si="138"/>
        <v>207.05288461538461</v>
      </c>
      <c r="R873" s="12">
        <v>47580</v>
      </c>
      <c r="S873" s="15">
        <f t="shared" si="139"/>
        <v>54876</v>
      </c>
      <c r="T873" s="20">
        <f>S873/median_percentile!$B$1</f>
        <v>1.0888419298193399</v>
      </c>
      <c r="U873" s="24" t="str" cm="1">
        <f t="array" ref="U873">_xlfn.IFS(T873&lt;1,"underpaid",T873&gt;1,"overpaid",T873=1,"median pay")</f>
        <v>overpaid</v>
      </c>
      <c r="V873" s="5"/>
    </row>
    <row r="874" spans="1:22" x14ac:dyDescent="0.3">
      <c r="A874" s="21" t="s">
        <v>885</v>
      </c>
      <c r="B874" s="8" t="s">
        <v>1884</v>
      </c>
      <c r="C874" s="8" t="s">
        <v>2014</v>
      </c>
      <c r="D874" s="9">
        <v>45377</v>
      </c>
      <c r="E874" s="10">
        <f t="shared" si="130"/>
        <v>663600</v>
      </c>
      <c r="F874" s="8">
        <v>48162</v>
      </c>
      <c r="G874" s="8">
        <v>7138</v>
      </c>
      <c r="H874" s="11">
        <f t="shared" si="131"/>
        <v>24081</v>
      </c>
      <c r="I874" s="11">
        <f t="shared" si="132"/>
        <v>9632.4</v>
      </c>
      <c r="J874" s="11">
        <f t="shared" si="133"/>
        <v>14448.599999999999</v>
      </c>
      <c r="K874" s="11">
        <f t="shared" si="134"/>
        <v>2889.72</v>
      </c>
      <c r="L874" s="8">
        <v>200</v>
      </c>
      <c r="M874" s="8">
        <f t="shared" si="135"/>
        <v>208</v>
      </c>
      <c r="N874" s="11">
        <v>5</v>
      </c>
      <c r="O874" s="11">
        <f t="shared" si="136"/>
        <v>115.77403846153847</v>
      </c>
      <c r="P874" s="11">
        <f t="shared" si="137"/>
        <v>231.54807692307693</v>
      </c>
      <c r="Q874" s="11">
        <f t="shared" si="138"/>
        <v>1157.7403846153848</v>
      </c>
      <c r="R874" s="8">
        <v>53013</v>
      </c>
      <c r="S874" s="11">
        <f t="shared" si="139"/>
        <v>60151</v>
      </c>
      <c r="T874" s="20">
        <f>S874/median_percentile!$B$1</f>
        <v>1.1935077432860104</v>
      </c>
      <c r="U874" s="24" t="str" cm="1">
        <f t="array" ref="U874">_xlfn.IFS(T874&lt;1,"underpaid",T874&gt;1,"overpaid",T874=1,"median pay")</f>
        <v>overpaid</v>
      </c>
      <c r="V874" s="5"/>
    </row>
    <row r="875" spans="1:22" x14ac:dyDescent="0.3">
      <c r="A875" s="22" t="s">
        <v>886</v>
      </c>
      <c r="B875" s="12" t="s">
        <v>1885</v>
      </c>
      <c r="C875" s="12" t="s">
        <v>2016</v>
      </c>
      <c r="D875" s="13">
        <v>44345</v>
      </c>
      <c r="E875" s="14">
        <f t="shared" si="130"/>
        <v>635844</v>
      </c>
      <c r="F875" s="12">
        <v>46048</v>
      </c>
      <c r="G875" s="12">
        <v>6939</v>
      </c>
      <c r="H875" s="15">
        <f t="shared" si="131"/>
        <v>23024</v>
      </c>
      <c r="I875" s="15">
        <f t="shared" si="132"/>
        <v>9209.6</v>
      </c>
      <c r="J875" s="15">
        <f t="shared" si="133"/>
        <v>13814.400000000001</v>
      </c>
      <c r="K875" s="15">
        <f t="shared" si="134"/>
        <v>2762.88</v>
      </c>
      <c r="L875" s="12">
        <v>200</v>
      </c>
      <c r="M875" s="12">
        <f t="shared" si="135"/>
        <v>208</v>
      </c>
      <c r="N875" s="15">
        <v>5</v>
      </c>
      <c r="O875" s="15">
        <f t="shared" si="136"/>
        <v>110.69230769230769</v>
      </c>
      <c r="P875" s="15">
        <f t="shared" si="137"/>
        <v>221.38461538461539</v>
      </c>
      <c r="Q875" s="15">
        <f t="shared" si="138"/>
        <v>1106.9230769230769</v>
      </c>
      <c r="R875" s="12">
        <v>50408</v>
      </c>
      <c r="S875" s="15">
        <f t="shared" si="139"/>
        <v>57347</v>
      </c>
      <c r="T875" s="20">
        <f>S875/median_percentile!$B$1</f>
        <v>1.1378711668005992</v>
      </c>
      <c r="U875" s="24" t="str" cm="1">
        <f t="array" ref="U875">_xlfn.IFS(T875&lt;1,"underpaid",T875&gt;1,"overpaid",T875=1,"median pay")</f>
        <v>overpaid</v>
      </c>
      <c r="V875" s="5"/>
    </row>
    <row r="876" spans="1:22" x14ac:dyDescent="0.3">
      <c r="A876" s="21" t="s">
        <v>887</v>
      </c>
      <c r="B876" s="8" t="s">
        <v>1886</v>
      </c>
      <c r="C876" s="8" t="s">
        <v>2014</v>
      </c>
      <c r="D876" s="9">
        <v>44311</v>
      </c>
      <c r="E876" s="10">
        <f t="shared" si="130"/>
        <v>691356</v>
      </c>
      <c r="F876" s="8">
        <v>48690</v>
      </c>
      <c r="G876" s="8">
        <v>8923</v>
      </c>
      <c r="H876" s="11">
        <f t="shared" si="131"/>
        <v>24345</v>
      </c>
      <c r="I876" s="11">
        <f t="shared" si="132"/>
        <v>9738</v>
      </c>
      <c r="J876" s="11">
        <f t="shared" si="133"/>
        <v>14607</v>
      </c>
      <c r="K876" s="11">
        <f t="shared" si="134"/>
        <v>2921.4</v>
      </c>
      <c r="L876" s="8">
        <v>200</v>
      </c>
      <c r="M876" s="8">
        <f t="shared" si="135"/>
        <v>208</v>
      </c>
      <c r="N876" s="11">
        <v>1</v>
      </c>
      <c r="O876" s="11">
        <f t="shared" si="136"/>
        <v>117.04326923076923</v>
      </c>
      <c r="P876" s="11">
        <f t="shared" si="137"/>
        <v>234.08653846153845</v>
      </c>
      <c r="Q876" s="11">
        <f t="shared" si="138"/>
        <v>234.08653846153845</v>
      </c>
      <c r="R876" s="8">
        <v>54897</v>
      </c>
      <c r="S876" s="11">
        <f t="shared" si="139"/>
        <v>63820</v>
      </c>
      <c r="T876" s="20">
        <f>S876/median_percentile!$B$1</f>
        <v>1.2663075289939185</v>
      </c>
      <c r="U876" s="24" t="str" cm="1">
        <f t="array" ref="U876">_xlfn.IFS(T876&lt;1,"underpaid",T876&gt;1,"overpaid",T876=1,"median pay")</f>
        <v>overpaid</v>
      </c>
      <c r="V876" s="5"/>
    </row>
    <row r="877" spans="1:22" x14ac:dyDescent="0.3">
      <c r="A877" s="22" t="s">
        <v>888</v>
      </c>
      <c r="B877" s="12" t="s">
        <v>1887</v>
      </c>
      <c r="C877" s="12" t="s">
        <v>2012</v>
      </c>
      <c r="D877" s="13">
        <v>45525</v>
      </c>
      <c r="E877" s="14">
        <f t="shared" si="130"/>
        <v>590928</v>
      </c>
      <c r="F877" s="12">
        <v>43195</v>
      </c>
      <c r="G877" s="12">
        <v>6049</v>
      </c>
      <c r="H877" s="15">
        <f t="shared" si="131"/>
        <v>21597.5</v>
      </c>
      <c r="I877" s="15">
        <f t="shared" si="132"/>
        <v>8639</v>
      </c>
      <c r="J877" s="15">
        <f t="shared" si="133"/>
        <v>12958.5</v>
      </c>
      <c r="K877" s="15">
        <f t="shared" si="134"/>
        <v>2591.6999999999998</v>
      </c>
      <c r="L877" s="12">
        <v>200</v>
      </c>
      <c r="M877" s="12">
        <f t="shared" si="135"/>
        <v>208</v>
      </c>
      <c r="N877" s="15">
        <v>4</v>
      </c>
      <c r="O877" s="15">
        <f t="shared" si="136"/>
        <v>103.83413461538461</v>
      </c>
      <c r="P877" s="15">
        <f t="shared" si="137"/>
        <v>207.66826923076923</v>
      </c>
      <c r="Q877" s="15">
        <f t="shared" si="138"/>
        <v>830.67307692307691</v>
      </c>
      <c r="R877" s="12">
        <v>47172</v>
      </c>
      <c r="S877" s="15">
        <f t="shared" si="139"/>
        <v>53221</v>
      </c>
      <c r="T877" s="20">
        <f>S877/median_percentile!$B$1</f>
        <v>1.0560036509023085</v>
      </c>
      <c r="U877" s="24" t="str" cm="1">
        <f t="array" ref="U877">_xlfn.IFS(T877&lt;1,"underpaid",T877&gt;1,"overpaid",T877=1,"median pay")</f>
        <v>overpaid</v>
      </c>
      <c r="V877" s="5"/>
    </row>
    <row r="878" spans="1:22" x14ac:dyDescent="0.3">
      <c r="A878" s="21" t="s">
        <v>889</v>
      </c>
      <c r="B878" s="8" t="s">
        <v>1888</v>
      </c>
      <c r="C878" s="8" t="s">
        <v>2015</v>
      </c>
      <c r="D878" s="9">
        <v>44911</v>
      </c>
      <c r="E878" s="10">
        <f t="shared" si="130"/>
        <v>439908</v>
      </c>
      <c r="F878" s="8">
        <v>32379</v>
      </c>
      <c r="G878" s="8">
        <v>4280</v>
      </c>
      <c r="H878" s="11">
        <f t="shared" si="131"/>
        <v>16189.5</v>
      </c>
      <c r="I878" s="11">
        <f t="shared" si="132"/>
        <v>6475.8</v>
      </c>
      <c r="J878" s="11">
        <f t="shared" si="133"/>
        <v>9713.7000000000007</v>
      </c>
      <c r="K878" s="11">
        <f t="shared" si="134"/>
        <v>1942.74</v>
      </c>
      <c r="L878" s="8">
        <v>200</v>
      </c>
      <c r="M878" s="8">
        <f t="shared" si="135"/>
        <v>208</v>
      </c>
      <c r="N878" s="11">
        <v>2</v>
      </c>
      <c r="O878" s="11">
        <f t="shared" si="136"/>
        <v>77.834134615384613</v>
      </c>
      <c r="P878" s="11">
        <f t="shared" si="137"/>
        <v>155.66826923076923</v>
      </c>
      <c r="Q878" s="11">
        <f t="shared" si="138"/>
        <v>311.33653846153845</v>
      </c>
      <c r="R878" s="8">
        <v>34786</v>
      </c>
      <c r="S878" s="11">
        <f t="shared" si="139"/>
        <v>39066</v>
      </c>
      <c r="T878" s="20">
        <f>S878/median_percentile!$B$1</f>
        <v>0.77514211732492033</v>
      </c>
      <c r="U878" s="24" t="str" cm="1">
        <f t="array" ref="U878">_xlfn.IFS(T878&lt;1,"underpaid",T878&gt;1,"overpaid",T878=1,"median pay")</f>
        <v>underpaid</v>
      </c>
      <c r="V878" s="5"/>
    </row>
    <row r="879" spans="1:22" x14ac:dyDescent="0.3">
      <c r="A879" s="22" t="s">
        <v>890</v>
      </c>
      <c r="B879" s="12" t="s">
        <v>1889</v>
      </c>
      <c r="C879" s="12" t="s">
        <v>2013</v>
      </c>
      <c r="D879" s="13">
        <v>44819</v>
      </c>
      <c r="E879" s="14">
        <f t="shared" si="130"/>
        <v>512736</v>
      </c>
      <c r="F879" s="12">
        <v>38386</v>
      </c>
      <c r="G879" s="12">
        <v>4342</v>
      </c>
      <c r="H879" s="15">
        <f t="shared" si="131"/>
        <v>19193</v>
      </c>
      <c r="I879" s="15">
        <f t="shared" si="132"/>
        <v>7677.2000000000007</v>
      </c>
      <c r="J879" s="15">
        <f t="shared" si="133"/>
        <v>11515.8</v>
      </c>
      <c r="K879" s="15">
        <f t="shared" si="134"/>
        <v>2303.16</v>
      </c>
      <c r="L879" s="12">
        <v>200</v>
      </c>
      <c r="M879" s="12">
        <f t="shared" si="135"/>
        <v>208</v>
      </c>
      <c r="N879" s="15">
        <v>4</v>
      </c>
      <c r="O879" s="15">
        <f t="shared" si="136"/>
        <v>92.274038461538467</v>
      </c>
      <c r="P879" s="15">
        <f t="shared" si="137"/>
        <v>184.54807692307693</v>
      </c>
      <c r="Q879" s="15">
        <f t="shared" si="138"/>
        <v>738.19230769230774</v>
      </c>
      <c r="R879" s="12">
        <v>40225</v>
      </c>
      <c r="S879" s="15">
        <f t="shared" si="139"/>
        <v>44567</v>
      </c>
      <c r="T879" s="20">
        <f>S879/median_percentile!$B$1</f>
        <v>0.88429219123585023</v>
      </c>
      <c r="U879" s="24" t="str" cm="1">
        <f t="array" ref="U879">_xlfn.IFS(T879&lt;1,"underpaid",T879&gt;1,"overpaid",T879=1,"median pay")</f>
        <v>underpaid</v>
      </c>
      <c r="V879" s="5"/>
    </row>
    <row r="880" spans="1:22" x14ac:dyDescent="0.3">
      <c r="A880" s="21" t="s">
        <v>891</v>
      </c>
      <c r="B880" s="8" t="s">
        <v>1890</v>
      </c>
      <c r="C880" s="8" t="s">
        <v>2013</v>
      </c>
      <c r="D880" s="9">
        <v>45115</v>
      </c>
      <c r="E880" s="10">
        <f t="shared" si="130"/>
        <v>640056</v>
      </c>
      <c r="F880" s="8">
        <v>48225</v>
      </c>
      <c r="G880" s="8">
        <v>5113</v>
      </c>
      <c r="H880" s="11">
        <f t="shared" si="131"/>
        <v>24112.5</v>
      </c>
      <c r="I880" s="11">
        <f t="shared" si="132"/>
        <v>9645</v>
      </c>
      <c r="J880" s="11">
        <f t="shared" si="133"/>
        <v>14467.5</v>
      </c>
      <c r="K880" s="11">
        <f t="shared" si="134"/>
        <v>2893.5</v>
      </c>
      <c r="L880" s="8">
        <v>200</v>
      </c>
      <c r="M880" s="8">
        <f t="shared" si="135"/>
        <v>208</v>
      </c>
      <c r="N880" s="11">
        <v>4</v>
      </c>
      <c r="O880" s="11">
        <f t="shared" si="136"/>
        <v>115.92548076923077</v>
      </c>
      <c r="P880" s="11">
        <f t="shared" si="137"/>
        <v>231.85096153846155</v>
      </c>
      <c r="Q880" s="11">
        <f t="shared" si="138"/>
        <v>927.40384615384619</v>
      </c>
      <c r="R880" s="8">
        <v>50646</v>
      </c>
      <c r="S880" s="11">
        <f t="shared" si="139"/>
        <v>55759</v>
      </c>
      <c r="T880" s="20">
        <f>S880/median_percentile!$B$1</f>
        <v>1.1063622925285475</v>
      </c>
      <c r="U880" s="24" t="str" cm="1">
        <f t="array" ref="U880">_xlfn.IFS(T880&lt;1,"underpaid",T880&gt;1,"overpaid",T880=1,"median pay")</f>
        <v>overpaid</v>
      </c>
      <c r="V880" s="5"/>
    </row>
    <row r="881" spans="1:22" x14ac:dyDescent="0.3">
      <c r="A881" s="22" t="s">
        <v>892</v>
      </c>
      <c r="B881" s="12" t="s">
        <v>1891</v>
      </c>
      <c r="C881" s="12" t="s">
        <v>2014</v>
      </c>
      <c r="D881" s="13">
        <v>44499</v>
      </c>
      <c r="E881" s="14">
        <f t="shared" si="130"/>
        <v>844296</v>
      </c>
      <c r="F881" s="12">
        <v>63321</v>
      </c>
      <c r="G881" s="12">
        <v>7037</v>
      </c>
      <c r="H881" s="15">
        <f t="shared" si="131"/>
        <v>31660.5</v>
      </c>
      <c r="I881" s="15">
        <f t="shared" si="132"/>
        <v>12664.2</v>
      </c>
      <c r="J881" s="15">
        <f t="shared" si="133"/>
        <v>18996.300000000003</v>
      </c>
      <c r="K881" s="15">
        <f t="shared" si="134"/>
        <v>3799.2599999999998</v>
      </c>
      <c r="L881" s="12">
        <v>200</v>
      </c>
      <c r="M881" s="12">
        <f t="shared" si="135"/>
        <v>208</v>
      </c>
      <c r="N881" s="15">
        <v>3</v>
      </c>
      <c r="O881" s="15">
        <f t="shared" si="136"/>
        <v>152.21394230769232</v>
      </c>
      <c r="P881" s="15">
        <f t="shared" si="137"/>
        <v>304.42788461538464</v>
      </c>
      <c r="Q881" s="15">
        <f t="shared" si="138"/>
        <v>913.28365384615392</v>
      </c>
      <c r="R881" s="12">
        <v>66359</v>
      </c>
      <c r="S881" s="15">
        <f t="shared" si="139"/>
        <v>73396</v>
      </c>
      <c r="T881" s="20">
        <f>S881/median_percentile!$B$1</f>
        <v>1.4563131839241248</v>
      </c>
      <c r="U881" s="24" t="str" cm="1">
        <f t="array" ref="U881">_xlfn.IFS(T881&lt;1,"underpaid",T881&gt;1,"overpaid",T881=1,"median pay")</f>
        <v>overpaid</v>
      </c>
      <c r="V881" s="5"/>
    </row>
    <row r="882" spans="1:22" x14ac:dyDescent="0.3">
      <c r="A882" s="21" t="s">
        <v>893</v>
      </c>
      <c r="B882" s="8" t="s">
        <v>1892</v>
      </c>
      <c r="C882" s="8" t="s">
        <v>2015</v>
      </c>
      <c r="D882" s="9">
        <v>45016</v>
      </c>
      <c r="E882" s="10">
        <f t="shared" si="130"/>
        <v>391488</v>
      </c>
      <c r="F882" s="8">
        <v>28440</v>
      </c>
      <c r="G882" s="8">
        <v>4184</v>
      </c>
      <c r="H882" s="11">
        <f t="shared" si="131"/>
        <v>14220</v>
      </c>
      <c r="I882" s="11">
        <f t="shared" si="132"/>
        <v>5688</v>
      </c>
      <c r="J882" s="11">
        <f t="shared" si="133"/>
        <v>8532</v>
      </c>
      <c r="K882" s="11">
        <f t="shared" si="134"/>
        <v>1706.3999999999999</v>
      </c>
      <c r="L882" s="8">
        <v>200</v>
      </c>
      <c r="M882" s="8">
        <f t="shared" si="135"/>
        <v>208</v>
      </c>
      <c r="N882" s="11">
        <v>2</v>
      </c>
      <c r="O882" s="11">
        <f t="shared" si="136"/>
        <v>68.365384615384613</v>
      </c>
      <c r="P882" s="11">
        <f t="shared" si="137"/>
        <v>136.73076923076923</v>
      </c>
      <c r="Q882" s="11">
        <f t="shared" si="138"/>
        <v>273.46153846153845</v>
      </c>
      <c r="R882" s="8">
        <v>30718</v>
      </c>
      <c r="S882" s="11">
        <f t="shared" si="139"/>
        <v>34902</v>
      </c>
      <c r="T882" s="20">
        <f>S882/median_percentile!$B$1</f>
        <v>0.69252061073246229</v>
      </c>
      <c r="U882" s="24" t="str" cm="1">
        <f t="array" ref="U882">_xlfn.IFS(T882&lt;1,"underpaid",T882&gt;1,"overpaid",T882=1,"median pay")</f>
        <v>underpaid</v>
      </c>
      <c r="V882" s="5"/>
    </row>
    <row r="883" spans="1:22" x14ac:dyDescent="0.3">
      <c r="A883" s="22" t="s">
        <v>894</v>
      </c>
      <c r="B883" s="12" t="s">
        <v>1893</v>
      </c>
      <c r="C883" s="12" t="s">
        <v>2012</v>
      </c>
      <c r="D883" s="13">
        <v>44893</v>
      </c>
      <c r="E883" s="14">
        <f t="shared" si="130"/>
        <v>551964</v>
      </c>
      <c r="F883" s="12">
        <v>40065</v>
      </c>
      <c r="G883" s="12">
        <v>5932</v>
      </c>
      <c r="H883" s="15">
        <f t="shared" si="131"/>
        <v>20032.5</v>
      </c>
      <c r="I883" s="15">
        <f t="shared" si="132"/>
        <v>8013</v>
      </c>
      <c r="J883" s="15">
        <f t="shared" si="133"/>
        <v>12019.5</v>
      </c>
      <c r="K883" s="15">
        <f t="shared" si="134"/>
        <v>2403.9</v>
      </c>
      <c r="L883" s="12">
        <v>200</v>
      </c>
      <c r="M883" s="12">
        <f t="shared" si="135"/>
        <v>208</v>
      </c>
      <c r="N883" s="15">
        <v>5</v>
      </c>
      <c r="O883" s="15">
        <f t="shared" si="136"/>
        <v>96.31009615384616</v>
      </c>
      <c r="P883" s="15">
        <f t="shared" si="137"/>
        <v>192.62019230769232</v>
      </c>
      <c r="Q883" s="15">
        <f t="shared" si="138"/>
        <v>963.10096153846166</v>
      </c>
      <c r="R883" s="12">
        <v>43394</v>
      </c>
      <c r="S883" s="15">
        <f t="shared" si="139"/>
        <v>49326</v>
      </c>
      <c r="T883" s="20">
        <f>S883/median_percentile!$B$1</f>
        <v>0.97871960475014141</v>
      </c>
      <c r="U883" s="24" t="str" cm="1">
        <f t="array" ref="U883">_xlfn.IFS(T883&lt;1,"underpaid",T883&gt;1,"overpaid",T883=1,"median pay")</f>
        <v>underpaid</v>
      </c>
      <c r="V883" s="5"/>
    </row>
    <row r="884" spans="1:22" x14ac:dyDescent="0.3">
      <c r="A884" s="21" t="s">
        <v>895</v>
      </c>
      <c r="B884" s="8" t="s">
        <v>1894</v>
      </c>
      <c r="C884" s="8" t="s">
        <v>2011</v>
      </c>
      <c r="D884" s="9">
        <v>44513</v>
      </c>
      <c r="E884" s="10">
        <f t="shared" si="130"/>
        <v>386868</v>
      </c>
      <c r="F884" s="8">
        <v>26969</v>
      </c>
      <c r="G884" s="8">
        <v>5270</v>
      </c>
      <c r="H884" s="11">
        <f t="shared" si="131"/>
        <v>13484.5</v>
      </c>
      <c r="I884" s="11">
        <f t="shared" si="132"/>
        <v>5393.8</v>
      </c>
      <c r="J884" s="11">
        <f t="shared" si="133"/>
        <v>8090.7000000000007</v>
      </c>
      <c r="K884" s="11">
        <f t="shared" si="134"/>
        <v>1618.1399999999999</v>
      </c>
      <c r="L884" s="8">
        <v>200</v>
      </c>
      <c r="M884" s="8">
        <f t="shared" si="135"/>
        <v>208</v>
      </c>
      <c r="N884" s="11">
        <v>2</v>
      </c>
      <c r="O884" s="11">
        <f t="shared" si="136"/>
        <v>64.82932692307692</v>
      </c>
      <c r="P884" s="11">
        <f t="shared" si="137"/>
        <v>129.65865384615384</v>
      </c>
      <c r="Q884" s="11">
        <f t="shared" si="138"/>
        <v>259.31730769230768</v>
      </c>
      <c r="R884" s="8">
        <v>30421</v>
      </c>
      <c r="S884" s="11">
        <f t="shared" si="139"/>
        <v>35691</v>
      </c>
      <c r="T884" s="20">
        <f>S884/median_percentile!$B$1</f>
        <v>0.70817583856662403</v>
      </c>
      <c r="U884" s="24" t="str" cm="1">
        <f t="array" ref="U884">_xlfn.IFS(T884&lt;1,"underpaid",T884&gt;1,"overpaid",T884=1,"median pay")</f>
        <v>underpaid</v>
      </c>
      <c r="V884" s="5"/>
    </row>
    <row r="885" spans="1:22" x14ac:dyDescent="0.3">
      <c r="A885" s="22" t="s">
        <v>896</v>
      </c>
      <c r="B885" s="12" t="s">
        <v>1895</v>
      </c>
      <c r="C885" s="12" t="s">
        <v>2013</v>
      </c>
      <c r="D885" s="13">
        <v>45960</v>
      </c>
      <c r="E885" s="14">
        <f t="shared" si="130"/>
        <v>657780</v>
      </c>
      <c r="F885" s="12">
        <v>45985</v>
      </c>
      <c r="G885" s="12">
        <v>8830</v>
      </c>
      <c r="H885" s="15">
        <f t="shared" si="131"/>
        <v>22992.5</v>
      </c>
      <c r="I885" s="15">
        <f t="shared" si="132"/>
        <v>9197</v>
      </c>
      <c r="J885" s="15">
        <f t="shared" si="133"/>
        <v>13795.5</v>
      </c>
      <c r="K885" s="15">
        <f t="shared" si="134"/>
        <v>2759.1</v>
      </c>
      <c r="L885" s="12">
        <v>200</v>
      </c>
      <c r="M885" s="12">
        <f t="shared" si="135"/>
        <v>208</v>
      </c>
      <c r="N885" s="15">
        <v>3</v>
      </c>
      <c r="O885" s="15">
        <f t="shared" si="136"/>
        <v>110.54086538461539</v>
      </c>
      <c r="P885" s="15">
        <f t="shared" si="137"/>
        <v>221.08173076923077</v>
      </c>
      <c r="Q885" s="15">
        <f t="shared" si="138"/>
        <v>663.24519230769238</v>
      </c>
      <c r="R885" s="12">
        <v>51856</v>
      </c>
      <c r="S885" s="15">
        <f t="shared" si="139"/>
        <v>60686</v>
      </c>
      <c r="T885" s="20">
        <f>S885/median_percentile!$B$1</f>
        <v>1.2041231385854738</v>
      </c>
      <c r="U885" s="24" t="str" cm="1">
        <f t="array" ref="U885">_xlfn.IFS(T885&lt;1,"underpaid",T885&gt;1,"overpaid",T885=1,"median pay")</f>
        <v>overpaid</v>
      </c>
      <c r="V885" s="5"/>
    </row>
    <row r="886" spans="1:22" x14ac:dyDescent="0.3">
      <c r="A886" s="21" t="s">
        <v>897</v>
      </c>
      <c r="B886" s="8" t="s">
        <v>1896</v>
      </c>
      <c r="C886" s="8" t="s">
        <v>2013</v>
      </c>
      <c r="D886" s="9">
        <v>44158</v>
      </c>
      <c r="E886" s="10">
        <f t="shared" si="130"/>
        <v>698772</v>
      </c>
      <c r="F886" s="8">
        <v>51631</v>
      </c>
      <c r="G886" s="8">
        <v>6600</v>
      </c>
      <c r="H886" s="11">
        <f t="shared" si="131"/>
        <v>25815.5</v>
      </c>
      <c r="I886" s="11">
        <f t="shared" si="132"/>
        <v>10326.200000000001</v>
      </c>
      <c r="J886" s="11">
        <f t="shared" si="133"/>
        <v>15489.300000000003</v>
      </c>
      <c r="K886" s="11">
        <f t="shared" si="134"/>
        <v>3097.8599999999997</v>
      </c>
      <c r="L886" s="8">
        <v>200</v>
      </c>
      <c r="M886" s="8">
        <f t="shared" si="135"/>
        <v>208</v>
      </c>
      <c r="N886" s="11">
        <v>4</v>
      </c>
      <c r="O886" s="11">
        <f t="shared" si="136"/>
        <v>124.11298076923077</v>
      </c>
      <c r="P886" s="11">
        <f t="shared" si="137"/>
        <v>248.22596153846155</v>
      </c>
      <c r="Q886" s="11">
        <f t="shared" si="138"/>
        <v>992.90384615384619</v>
      </c>
      <c r="R886" s="8">
        <v>54934</v>
      </c>
      <c r="S886" s="11">
        <f t="shared" si="139"/>
        <v>61534</v>
      </c>
      <c r="T886" s="20">
        <f>S886/median_percentile!$B$1</f>
        <v>1.2209490361816324</v>
      </c>
      <c r="U886" s="24" t="str" cm="1">
        <f t="array" ref="U886">_xlfn.IFS(T886&lt;1,"underpaid",T886&gt;1,"overpaid",T886=1,"median pay")</f>
        <v>overpaid</v>
      </c>
      <c r="V886" s="5"/>
    </row>
    <row r="887" spans="1:22" x14ac:dyDescent="0.3">
      <c r="A887" s="22" t="s">
        <v>898</v>
      </c>
      <c r="B887" s="12" t="s">
        <v>1897</v>
      </c>
      <c r="C887" s="12" t="s">
        <v>2014</v>
      </c>
      <c r="D887" s="13">
        <v>45769</v>
      </c>
      <c r="E887" s="14">
        <f t="shared" si="130"/>
        <v>741960</v>
      </c>
      <c r="F887" s="12">
        <v>53249</v>
      </c>
      <c r="G887" s="12">
        <v>8581</v>
      </c>
      <c r="H887" s="15">
        <f t="shared" si="131"/>
        <v>26624.5</v>
      </c>
      <c r="I887" s="15">
        <f t="shared" si="132"/>
        <v>10649.800000000001</v>
      </c>
      <c r="J887" s="15">
        <f t="shared" si="133"/>
        <v>15974.699999999997</v>
      </c>
      <c r="K887" s="15">
        <f t="shared" si="134"/>
        <v>3194.94</v>
      </c>
      <c r="L887" s="12">
        <v>200</v>
      </c>
      <c r="M887" s="12">
        <f t="shared" si="135"/>
        <v>208</v>
      </c>
      <c r="N887" s="15">
        <v>5</v>
      </c>
      <c r="O887" s="15">
        <f t="shared" si="136"/>
        <v>128.00240384615384</v>
      </c>
      <c r="P887" s="15">
        <f t="shared" si="137"/>
        <v>256.00480769230768</v>
      </c>
      <c r="Q887" s="15">
        <f t="shared" si="138"/>
        <v>1280.0240384615383</v>
      </c>
      <c r="R887" s="12">
        <v>59323</v>
      </c>
      <c r="S887" s="15">
        <f t="shared" si="139"/>
        <v>67904</v>
      </c>
      <c r="T887" s="20">
        <f>S887/median_percentile!$B$1</f>
        <v>1.3473416867565502</v>
      </c>
      <c r="U887" s="24" t="str" cm="1">
        <f t="array" ref="U887">_xlfn.IFS(T887&lt;1,"underpaid",T887&gt;1,"overpaid",T887=1,"median pay")</f>
        <v>overpaid</v>
      </c>
      <c r="V887" s="5"/>
    </row>
    <row r="888" spans="1:22" x14ac:dyDescent="0.3">
      <c r="A888" s="21" t="s">
        <v>899</v>
      </c>
      <c r="B888" s="8" t="s">
        <v>1898</v>
      </c>
      <c r="C888" s="8" t="s">
        <v>2011</v>
      </c>
      <c r="D888" s="9">
        <v>44743</v>
      </c>
      <c r="E888" s="10">
        <f t="shared" si="130"/>
        <v>577200</v>
      </c>
      <c r="F888" s="8">
        <v>40774</v>
      </c>
      <c r="G888" s="8">
        <v>7326</v>
      </c>
      <c r="H888" s="11">
        <f t="shared" si="131"/>
        <v>20387</v>
      </c>
      <c r="I888" s="11">
        <f t="shared" si="132"/>
        <v>8154.8</v>
      </c>
      <c r="J888" s="11">
        <f t="shared" si="133"/>
        <v>12232.2</v>
      </c>
      <c r="K888" s="11">
        <f t="shared" si="134"/>
        <v>2446.44</v>
      </c>
      <c r="L888" s="8">
        <v>200</v>
      </c>
      <c r="M888" s="8">
        <f t="shared" si="135"/>
        <v>208</v>
      </c>
      <c r="N888" s="11">
        <v>0</v>
      </c>
      <c r="O888" s="11">
        <f t="shared" si="136"/>
        <v>98.01442307692308</v>
      </c>
      <c r="P888" s="11">
        <f t="shared" si="137"/>
        <v>196.02884615384616</v>
      </c>
      <c r="Q888" s="11">
        <f t="shared" si="138"/>
        <v>0</v>
      </c>
      <c r="R888" s="8">
        <v>45793</v>
      </c>
      <c r="S888" s="11">
        <f t="shared" si="139"/>
        <v>53119</v>
      </c>
      <c r="T888" s="20">
        <f>S888/median_percentile!$B$1</f>
        <v>1.0539797811442801</v>
      </c>
      <c r="U888" s="24" t="str" cm="1">
        <f t="array" ref="U888">_xlfn.IFS(T888&lt;1,"underpaid",T888&gt;1,"overpaid",T888=1,"median pay")</f>
        <v>overpaid</v>
      </c>
      <c r="V888" s="5"/>
    </row>
    <row r="889" spans="1:22" x14ac:dyDescent="0.3">
      <c r="A889" s="22" t="s">
        <v>900</v>
      </c>
      <c r="B889" s="12" t="s">
        <v>1899</v>
      </c>
      <c r="C889" s="12" t="s">
        <v>2014</v>
      </c>
      <c r="D889" s="13">
        <v>45043</v>
      </c>
      <c r="E889" s="14">
        <f t="shared" si="130"/>
        <v>755364</v>
      </c>
      <c r="F889" s="12">
        <v>56596</v>
      </c>
      <c r="G889" s="12">
        <v>6351</v>
      </c>
      <c r="H889" s="15">
        <f t="shared" si="131"/>
        <v>28298</v>
      </c>
      <c r="I889" s="15">
        <f t="shared" si="132"/>
        <v>11319.2</v>
      </c>
      <c r="J889" s="15">
        <f t="shared" si="133"/>
        <v>16978.800000000003</v>
      </c>
      <c r="K889" s="15">
        <f t="shared" si="134"/>
        <v>3395.7599999999998</v>
      </c>
      <c r="L889" s="12">
        <v>200</v>
      </c>
      <c r="M889" s="12">
        <f t="shared" si="135"/>
        <v>208</v>
      </c>
      <c r="N889" s="15">
        <v>3</v>
      </c>
      <c r="O889" s="15">
        <f t="shared" si="136"/>
        <v>136.04807692307693</v>
      </c>
      <c r="P889" s="15">
        <f t="shared" si="137"/>
        <v>272.09615384615387</v>
      </c>
      <c r="Q889" s="15">
        <f t="shared" si="138"/>
        <v>816.28846153846166</v>
      </c>
      <c r="R889" s="12">
        <v>59823</v>
      </c>
      <c r="S889" s="15">
        <f t="shared" si="139"/>
        <v>66174</v>
      </c>
      <c r="T889" s="20">
        <f>S889/median_percentile!$B$1</f>
        <v>1.3130152683115568</v>
      </c>
      <c r="U889" s="24" t="str" cm="1">
        <f t="array" ref="U889">_xlfn.IFS(T889&lt;1,"underpaid",T889&gt;1,"overpaid",T889=1,"median pay")</f>
        <v>overpaid</v>
      </c>
      <c r="V889" s="5"/>
    </row>
    <row r="890" spans="1:22" x14ac:dyDescent="0.3">
      <c r="A890" s="21" t="s">
        <v>901</v>
      </c>
      <c r="B890" s="8" t="s">
        <v>1900</v>
      </c>
      <c r="C890" s="8" t="s">
        <v>2016</v>
      </c>
      <c r="D890" s="9">
        <v>44949</v>
      </c>
      <c r="E890" s="10">
        <f t="shared" si="130"/>
        <v>347640</v>
      </c>
      <c r="F890" s="8">
        <v>25015</v>
      </c>
      <c r="G890" s="8">
        <v>3955</v>
      </c>
      <c r="H890" s="11">
        <f t="shared" si="131"/>
        <v>12507.5</v>
      </c>
      <c r="I890" s="11">
        <f t="shared" si="132"/>
        <v>5003</v>
      </c>
      <c r="J890" s="11">
        <f t="shared" si="133"/>
        <v>7504.5</v>
      </c>
      <c r="K890" s="11">
        <f t="shared" si="134"/>
        <v>1500.8999999999999</v>
      </c>
      <c r="L890" s="8">
        <v>200</v>
      </c>
      <c r="M890" s="8">
        <f t="shared" si="135"/>
        <v>208</v>
      </c>
      <c r="N890" s="11">
        <v>0</v>
      </c>
      <c r="O890" s="11">
        <f t="shared" si="136"/>
        <v>60.13221153846154</v>
      </c>
      <c r="P890" s="11">
        <f t="shared" si="137"/>
        <v>120.26442307692308</v>
      </c>
      <c r="Q890" s="11">
        <f t="shared" si="138"/>
        <v>0</v>
      </c>
      <c r="R890" s="8">
        <v>27686</v>
      </c>
      <c r="S890" s="11">
        <f t="shared" si="139"/>
        <v>31641</v>
      </c>
      <c r="T890" s="20">
        <f>S890/median_percentile!$B$1</f>
        <v>0.62781630405666833</v>
      </c>
      <c r="U890" s="24" t="str" cm="1">
        <f t="array" ref="U890">_xlfn.IFS(T890&lt;1,"underpaid",T890&gt;1,"overpaid",T890=1,"median pay")</f>
        <v>underpaid</v>
      </c>
      <c r="V890" s="5"/>
    </row>
    <row r="891" spans="1:22" x14ac:dyDescent="0.3">
      <c r="A891" s="22" t="s">
        <v>902</v>
      </c>
      <c r="B891" s="12" t="s">
        <v>1901</v>
      </c>
      <c r="C891" s="12" t="s">
        <v>2014</v>
      </c>
      <c r="D891" s="13">
        <v>45761</v>
      </c>
      <c r="E891" s="14">
        <f t="shared" si="130"/>
        <v>494124</v>
      </c>
      <c r="F891" s="12">
        <v>35621</v>
      </c>
      <c r="G891" s="12">
        <v>5556</v>
      </c>
      <c r="H891" s="15">
        <f t="shared" si="131"/>
        <v>17810.5</v>
      </c>
      <c r="I891" s="15">
        <f t="shared" si="132"/>
        <v>7124.2000000000007</v>
      </c>
      <c r="J891" s="15">
        <f t="shared" si="133"/>
        <v>10686.3</v>
      </c>
      <c r="K891" s="15">
        <f t="shared" si="134"/>
        <v>2137.2599999999998</v>
      </c>
      <c r="L891" s="12">
        <v>200</v>
      </c>
      <c r="M891" s="12">
        <f t="shared" si="135"/>
        <v>208</v>
      </c>
      <c r="N891" s="15">
        <v>3</v>
      </c>
      <c r="O891" s="15">
        <f t="shared" si="136"/>
        <v>85.62740384615384</v>
      </c>
      <c r="P891" s="15">
        <f t="shared" si="137"/>
        <v>171.25480769230768</v>
      </c>
      <c r="Q891" s="15">
        <f t="shared" si="138"/>
        <v>513.76442307692309</v>
      </c>
      <c r="R891" s="12">
        <v>39433</v>
      </c>
      <c r="S891" s="15">
        <f t="shared" si="139"/>
        <v>44989</v>
      </c>
      <c r="T891" s="20">
        <f>S891/median_percentile!$B$1</f>
        <v>0.89266545631318395</v>
      </c>
      <c r="U891" s="24" t="str" cm="1">
        <f t="array" ref="U891">_xlfn.IFS(T891&lt;1,"underpaid",T891&gt;1,"overpaid",T891=1,"median pay")</f>
        <v>underpaid</v>
      </c>
      <c r="V891" s="5"/>
    </row>
    <row r="892" spans="1:22" x14ac:dyDescent="0.3">
      <c r="A892" s="21" t="s">
        <v>903</v>
      </c>
      <c r="B892" s="8" t="s">
        <v>1902</v>
      </c>
      <c r="C892" s="8" t="s">
        <v>2014</v>
      </c>
      <c r="D892" s="9">
        <v>45510</v>
      </c>
      <c r="E892" s="10">
        <f t="shared" si="130"/>
        <v>695592</v>
      </c>
      <c r="F892" s="8">
        <v>48939</v>
      </c>
      <c r="G892" s="8">
        <v>9027</v>
      </c>
      <c r="H892" s="11">
        <f t="shared" si="131"/>
        <v>24469.5</v>
      </c>
      <c r="I892" s="11">
        <f t="shared" si="132"/>
        <v>9787.8000000000011</v>
      </c>
      <c r="J892" s="11">
        <f t="shared" si="133"/>
        <v>14681.699999999997</v>
      </c>
      <c r="K892" s="11">
        <f t="shared" si="134"/>
        <v>2936.3399999999997</v>
      </c>
      <c r="L892" s="8">
        <v>200</v>
      </c>
      <c r="M892" s="8">
        <f t="shared" si="135"/>
        <v>208</v>
      </c>
      <c r="N892" s="11">
        <v>2</v>
      </c>
      <c r="O892" s="11">
        <f t="shared" si="136"/>
        <v>117.64182692307692</v>
      </c>
      <c r="P892" s="11">
        <f t="shared" si="137"/>
        <v>235.28365384615384</v>
      </c>
      <c r="Q892" s="11">
        <f t="shared" si="138"/>
        <v>470.56730769230768</v>
      </c>
      <c r="R892" s="8">
        <v>54830</v>
      </c>
      <c r="S892" s="11">
        <f t="shared" si="139"/>
        <v>63857</v>
      </c>
      <c r="T892" s="20">
        <f>S892/median_percentile!$B$1</f>
        <v>1.2670416778277132</v>
      </c>
      <c r="U892" s="24" t="str" cm="1">
        <f t="array" ref="U892">_xlfn.IFS(T892&lt;1,"underpaid",T892&gt;1,"overpaid",T892=1,"median pay")</f>
        <v>overpaid</v>
      </c>
      <c r="V892" s="5"/>
    </row>
    <row r="893" spans="1:22" x14ac:dyDescent="0.3">
      <c r="A893" s="22" t="s">
        <v>904</v>
      </c>
      <c r="B893" s="12" t="s">
        <v>1903</v>
      </c>
      <c r="C893" s="12" t="s">
        <v>2015</v>
      </c>
      <c r="D893" s="13">
        <v>44080</v>
      </c>
      <c r="E893" s="14">
        <f t="shared" si="130"/>
        <v>578568</v>
      </c>
      <c r="F893" s="12">
        <v>40548</v>
      </c>
      <c r="G893" s="12">
        <v>7666</v>
      </c>
      <c r="H893" s="15">
        <f t="shared" si="131"/>
        <v>20274</v>
      </c>
      <c r="I893" s="15">
        <f t="shared" si="132"/>
        <v>8109.6</v>
      </c>
      <c r="J893" s="15">
        <f t="shared" si="133"/>
        <v>12164.400000000001</v>
      </c>
      <c r="K893" s="15">
        <f t="shared" si="134"/>
        <v>2432.88</v>
      </c>
      <c r="L893" s="12">
        <v>200</v>
      </c>
      <c r="M893" s="12">
        <f t="shared" si="135"/>
        <v>208</v>
      </c>
      <c r="N893" s="15">
        <v>3</v>
      </c>
      <c r="O893" s="15">
        <f t="shared" si="136"/>
        <v>97.47115384615384</v>
      </c>
      <c r="P893" s="15">
        <f t="shared" si="137"/>
        <v>194.94230769230768</v>
      </c>
      <c r="Q893" s="15">
        <f t="shared" si="138"/>
        <v>584.82692307692309</v>
      </c>
      <c r="R893" s="12">
        <v>46257</v>
      </c>
      <c r="S893" s="15">
        <f t="shared" si="139"/>
        <v>53923</v>
      </c>
      <c r="T893" s="20">
        <f>S893/median_percentile!$B$1</f>
        <v>1.0699326368840343</v>
      </c>
      <c r="U893" s="24" t="str" cm="1">
        <f t="array" ref="U893">_xlfn.IFS(T893&lt;1,"underpaid",T893&gt;1,"overpaid",T893=1,"median pay")</f>
        <v>overpaid</v>
      </c>
      <c r="V893" s="5"/>
    </row>
    <row r="894" spans="1:22" x14ac:dyDescent="0.3">
      <c r="A894" s="21" t="s">
        <v>905</v>
      </c>
      <c r="B894" s="8" t="s">
        <v>1904</v>
      </c>
      <c r="C894" s="8" t="s">
        <v>2015</v>
      </c>
      <c r="D894" s="9">
        <v>45274</v>
      </c>
      <c r="E894" s="10">
        <f t="shared" si="130"/>
        <v>478404</v>
      </c>
      <c r="F894" s="8">
        <v>34355</v>
      </c>
      <c r="G894" s="8">
        <v>5512</v>
      </c>
      <c r="H894" s="11">
        <f t="shared" si="131"/>
        <v>17177.5</v>
      </c>
      <c r="I894" s="11">
        <f t="shared" si="132"/>
        <v>6871</v>
      </c>
      <c r="J894" s="11">
        <f t="shared" si="133"/>
        <v>10306.5</v>
      </c>
      <c r="K894" s="11">
        <f t="shared" si="134"/>
        <v>2061.2999999999997</v>
      </c>
      <c r="L894" s="8">
        <v>200</v>
      </c>
      <c r="M894" s="8">
        <f t="shared" si="135"/>
        <v>208</v>
      </c>
      <c r="N894" s="11">
        <v>3</v>
      </c>
      <c r="O894" s="11">
        <f t="shared" si="136"/>
        <v>82.584134615384613</v>
      </c>
      <c r="P894" s="11">
        <f t="shared" si="137"/>
        <v>165.16826923076923</v>
      </c>
      <c r="Q894" s="11">
        <f t="shared" si="138"/>
        <v>495.50480769230768</v>
      </c>
      <c r="R894" s="8">
        <v>38178</v>
      </c>
      <c r="S894" s="11">
        <f t="shared" si="139"/>
        <v>43690</v>
      </c>
      <c r="T894" s="20">
        <f>S894/median_percentile!$B$1</f>
        <v>0.86689087968887968</v>
      </c>
      <c r="U894" s="24" t="str" cm="1">
        <f t="array" ref="U894">_xlfn.IFS(T894&lt;1,"underpaid",T894&gt;1,"overpaid",T894=1,"median pay")</f>
        <v>underpaid</v>
      </c>
      <c r="V894" s="5"/>
    </row>
    <row r="895" spans="1:22" x14ac:dyDescent="0.3">
      <c r="A895" s="22" t="s">
        <v>906</v>
      </c>
      <c r="B895" s="12" t="s">
        <v>1905</v>
      </c>
      <c r="C895" s="12" t="s">
        <v>2012</v>
      </c>
      <c r="D895" s="13">
        <v>44507</v>
      </c>
      <c r="E895" s="14">
        <f t="shared" si="130"/>
        <v>403248</v>
      </c>
      <c r="F895" s="12">
        <v>28787</v>
      </c>
      <c r="G895" s="12">
        <v>4817</v>
      </c>
      <c r="H895" s="15">
        <f t="shared" si="131"/>
        <v>14393.5</v>
      </c>
      <c r="I895" s="15">
        <f t="shared" si="132"/>
        <v>5757.4000000000005</v>
      </c>
      <c r="J895" s="15">
        <f t="shared" si="133"/>
        <v>8636.0999999999985</v>
      </c>
      <c r="K895" s="15">
        <f t="shared" si="134"/>
        <v>1727.22</v>
      </c>
      <c r="L895" s="12">
        <v>200</v>
      </c>
      <c r="M895" s="12">
        <f t="shared" si="135"/>
        <v>208</v>
      </c>
      <c r="N895" s="15">
        <v>2</v>
      </c>
      <c r="O895" s="15">
        <f t="shared" si="136"/>
        <v>69.199519230769226</v>
      </c>
      <c r="P895" s="15">
        <f t="shared" si="137"/>
        <v>138.39903846153845</v>
      </c>
      <c r="Q895" s="15">
        <f t="shared" si="138"/>
        <v>276.79807692307691</v>
      </c>
      <c r="R895" s="12">
        <v>32156</v>
      </c>
      <c r="S895" s="15">
        <f t="shared" si="139"/>
        <v>36973</v>
      </c>
      <c r="T895" s="20">
        <f>S895/median_percentile!$B$1</f>
        <v>0.7336131035645902</v>
      </c>
      <c r="U895" s="24" t="str" cm="1">
        <f t="array" ref="U895">_xlfn.IFS(T895&lt;1,"underpaid",T895&gt;1,"overpaid",T895=1,"median pay")</f>
        <v>underpaid</v>
      </c>
      <c r="V895" s="5"/>
    </row>
    <row r="896" spans="1:22" x14ac:dyDescent="0.3">
      <c r="A896" s="21" t="s">
        <v>907</v>
      </c>
      <c r="B896" s="8" t="s">
        <v>1906</v>
      </c>
      <c r="C896" s="8" t="s">
        <v>2015</v>
      </c>
      <c r="D896" s="9">
        <v>46010</v>
      </c>
      <c r="E896" s="10">
        <f t="shared" si="130"/>
        <v>478212</v>
      </c>
      <c r="F896" s="8">
        <v>35178</v>
      </c>
      <c r="G896" s="8">
        <v>4673</v>
      </c>
      <c r="H896" s="11">
        <f t="shared" si="131"/>
        <v>17589</v>
      </c>
      <c r="I896" s="11">
        <f t="shared" si="132"/>
        <v>7035.6</v>
      </c>
      <c r="J896" s="11">
        <f t="shared" si="133"/>
        <v>10553.400000000001</v>
      </c>
      <c r="K896" s="11">
        <f t="shared" si="134"/>
        <v>2110.6799999999998</v>
      </c>
      <c r="L896" s="8">
        <v>200</v>
      </c>
      <c r="M896" s="8">
        <f t="shared" si="135"/>
        <v>208</v>
      </c>
      <c r="N896" s="11">
        <v>0</v>
      </c>
      <c r="O896" s="11">
        <f t="shared" si="136"/>
        <v>84.5625</v>
      </c>
      <c r="P896" s="11">
        <f t="shared" si="137"/>
        <v>169.125</v>
      </c>
      <c r="Q896" s="11">
        <f t="shared" si="138"/>
        <v>0</v>
      </c>
      <c r="R896" s="8">
        <v>38127</v>
      </c>
      <c r="S896" s="11">
        <f t="shared" si="139"/>
        <v>42800</v>
      </c>
      <c r="T896" s="20">
        <f>S896/median_percentile!$B$1</f>
        <v>0.8492316239570622</v>
      </c>
      <c r="U896" s="24" t="str" cm="1">
        <f t="array" ref="U896">_xlfn.IFS(T896&lt;1,"underpaid",T896&gt;1,"overpaid",T896=1,"median pay")</f>
        <v>underpaid</v>
      </c>
      <c r="V896" s="5"/>
    </row>
    <row r="897" spans="1:22" x14ac:dyDescent="0.3">
      <c r="A897" s="22" t="s">
        <v>908</v>
      </c>
      <c r="B897" s="12" t="s">
        <v>1907</v>
      </c>
      <c r="C897" s="12" t="s">
        <v>2012</v>
      </c>
      <c r="D897" s="13">
        <v>43727</v>
      </c>
      <c r="E897" s="14">
        <f t="shared" si="130"/>
        <v>571980</v>
      </c>
      <c r="F897" s="12">
        <v>41076</v>
      </c>
      <c r="G897" s="12">
        <v>6589</v>
      </c>
      <c r="H897" s="15">
        <f t="shared" si="131"/>
        <v>20538</v>
      </c>
      <c r="I897" s="15">
        <f t="shared" si="132"/>
        <v>8215.2000000000007</v>
      </c>
      <c r="J897" s="15">
        <f t="shared" si="133"/>
        <v>12322.8</v>
      </c>
      <c r="K897" s="15">
        <f t="shared" si="134"/>
        <v>2464.56</v>
      </c>
      <c r="L897" s="12">
        <v>200</v>
      </c>
      <c r="M897" s="12">
        <f t="shared" si="135"/>
        <v>208</v>
      </c>
      <c r="N897" s="15">
        <v>0</v>
      </c>
      <c r="O897" s="15">
        <f t="shared" si="136"/>
        <v>98.740384615384613</v>
      </c>
      <c r="P897" s="15">
        <f t="shared" si="137"/>
        <v>197.48076923076923</v>
      </c>
      <c r="Q897" s="15">
        <f t="shared" si="138"/>
        <v>0</v>
      </c>
      <c r="R897" s="12">
        <v>45001</v>
      </c>
      <c r="S897" s="15">
        <f t="shared" si="139"/>
        <v>51590</v>
      </c>
      <c r="T897" s="20">
        <f>S897/median_percentile!$B$1</f>
        <v>1.0236415766342253</v>
      </c>
      <c r="U897" s="24" t="str" cm="1">
        <f t="array" ref="U897">_xlfn.IFS(T897&lt;1,"underpaid",T897&gt;1,"overpaid",T897=1,"median pay")</f>
        <v>overpaid</v>
      </c>
      <c r="V897" s="5"/>
    </row>
    <row r="898" spans="1:22" x14ac:dyDescent="0.3">
      <c r="A898" s="21" t="s">
        <v>909</v>
      </c>
      <c r="B898" s="8" t="s">
        <v>1908</v>
      </c>
      <c r="C898" s="8" t="s">
        <v>2015</v>
      </c>
      <c r="D898" s="9">
        <v>45561</v>
      </c>
      <c r="E898" s="10">
        <f t="shared" ref="E898:E961" si="140">(F898*12)+(G898*12)</f>
        <v>747552</v>
      </c>
      <c r="F898" s="8">
        <v>54738</v>
      </c>
      <c r="G898" s="8">
        <v>7558</v>
      </c>
      <c r="H898" s="11">
        <f t="shared" ref="H898:H961" si="141">F898*50%</f>
        <v>27369</v>
      </c>
      <c r="I898" s="11">
        <f t="shared" ref="I898:I961" si="142">H898*40%</f>
        <v>10947.6</v>
      </c>
      <c r="J898" s="11">
        <f t="shared" ref="J898:J961" si="143">F898-(H898+I898)</f>
        <v>16421.400000000001</v>
      </c>
      <c r="K898" s="11">
        <f t="shared" ref="K898:K961" si="144">H898*12%</f>
        <v>3284.2799999999997</v>
      </c>
      <c r="L898" s="8">
        <v>200</v>
      </c>
      <c r="M898" s="8">
        <f t="shared" si="135"/>
        <v>208</v>
      </c>
      <c r="N898" s="11">
        <v>5</v>
      </c>
      <c r="O898" s="11">
        <f t="shared" si="136"/>
        <v>131.58173076923077</v>
      </c>
      <c r="P898" s="11">
        <f t="shared" si="137"/>
        <v>263.16346153846155</v>
      </c>
      <c r="Q898" s="11">
        <f t="shared" si="138"/>
        <v>1315.8173076923076</v>
      </c>
      <c r="R898" s="8">
        <v>58812</v>
      </c>
      <c r="S898" s="11">
        <f t="shared" si="139"/>
        <v>66370</v>
      </c>
      <c r="T898" s="20">
        <f>S898/median_percentile!$B$1</f>
        <v>1.3169042729446312</v>
      </c>
      <c r="U898" s="24" t="str" cm="1">
        <f t="array" ref="U898">_xlfn.IFS(T898&lt;1,"underpaid",T898&gt;1,"overpaid",T898=1,"median pay")</f>
        <v>overpaid</v>
      </c>
      <c r="V898" s="5"/>
    </row>
    <row r="899" spans="1:22" x14ac:dyDescent="0.3">
      <c r="A899" s="22" t="s">
        <v>910</v>
      </c>
      <c r="B899" s="12" t="s">
        <v>1909</v>
      </c>
      <c r="C899" s="12" t="s">
        <v>2015</v>
      </c>
      <c r="D899" s="13">
        <v>44662</v>
      </c>
      <c r="E899" s="14">
        <f t="shared" si="140"/>
        <v>501432</v>
      </c>
      <c r="F899" s="12">
        <v>36974</v>
      </c>
      <c r="G899" s="12">
        <v>4812</v>
      </c>
      <c r="H899" s="15">
        <f t="shared" si="141"/>
        <v>18487</v>
      </c>
      <c r="I899" s="15">
        <f t="shared" si="142"/>
        <v>7394.8</v>
      </c>
      <c r="J899" s="15">
        <f t="shared" si="143"/>
        <v>11092.2</v>
      </c>
      <c r="K899" s="15">
        <f t="shared" si="144"/>
        <v>2218.44</v>
      </c>
      <c r="L899" s="12">
        <v>200</v>
      </c>
      <c r="M899" s="12">
        <f t="shared" ref="M899:M962" si="145">8*26</f>
        <v>208</v>
      </c>
      <c r="N899" s="15">
        <v>2</v>
      </c>
      <c r="O899" s="15">
        <f t="shared" ref="O899:O962" si="146">H899/M899</f>
        <v>88.879807692307693</v>
      </c>
      <c r="P899" s="15">
        <f t="shared" ref="P899:P962" si="147">O899*2</f>
        <v>177.75961538461539</v>
      </c>
      <c r="Q899" s="15">
        <f t="shared" ref="Q899:Q962" si="148">P899*N899</f>
        <v>355.51923076923077</v>
      </c>
      <c r="R899" s="12">
        <v>39368</v>
      </c>
      <c r="S899" s="15">
        <f t="shared" ref="S899:T962" si="149">R899+G899</f>
        <v>44180</v>
      </c>
      <c r="T899" s="20">
        <f>S899/median_percentile!$B$1</f>
        <v>0.87661339127156557</v>
      </c>
      <c r="U899" s="24" t="str" cm="1">
        <f t="array" ref="U899">_xlfn.IFS(T899&lt;1,"underpaid",T899&gt;1,"overpaid",T899=1,"median pay")</f>
        <v>underpaid</v>
      </c>
      <c r="V899" s="5"/>
    </row>
    <row r="900" spans="1:22" x14ac:dyDescent="0.3">
      <c r="A900" s="21" t="s">
        <v>911</v>
      </c>
      <c r="B900" s="8" t="s">
        <v>1910</v>
      </c>
      <c r="C900" s="8" t="s">
        <v>2014</v>
      </c>
      <c r="D900" s="9">
        <v>44870</v>
      </c>
      <c r="E900" s="10">
        <f t="shared" si="140"/>
        <v>1088304</v>
      </c>
      <c r="F900" s="8">
        <v>78868</v>
      </c>
      <c r="G900" s="8">
        <v>11824</v>
      </c>
      <c r="H900" s="11">
        <f t="shared" si="141"/>
        <v>39434</v>
      </c>
      <c r="I900" s="11">
        <f t="shared" si="142"/>
        <v>15773.6</v>
      </c>
      <c r="J900" s="11">
        <f t="shared" si="143"/>
        <v>23660.400000000001</v>
      </c>
      <c r="K900" s="11">
        <f t="shared" si="144"/>
        <v>4732.08</v>
      </c>
      <c r="L900" s="8">
        <v>200</v>
      </c>
      <c r="M900" s="8">
        <f t="shared" si="145"/>
        <v>208</v>
      </c>
      <c r="N900" s="11">
        <v>5</v>
      </c>
      <c r="O900" s="11">
        <f t="shared" si="146"/>
        <v>189.58653846153845</v>
      </c>
      <c r="P900" s="11">
        <f t="shared" si="147"/>
        <v>379.17307692307691</v>
      </c>
      <c r="Q900" s="11">
        <f t="shared" si="148"/>
        <v>1895.8653846153845</v>
      </c>
      <c r="R900" s="8">
        <v>86417</v>
      </c>
      <c r="S900" s="11">
        <f t="shared" si="149"/>
        <v>98241</v>
      </c>
      <c r="T900" s="20">
        <f>S900/median_percentile!$B$1</f>
        <v>1.9492842048870502</v>
      </c>
      <c r="U900" s="24" t="str" cm="1">
        <f t="array" ref="U900">_xlfn.IFS(T900&lt;1,"underpaid",T900&gt;1,"overpaid",T900=1,"median pay")</f>
        <v>overpaid</v>
      </c>
      <c r="V900" s="5"/>
    </row>
    <row r="901" spans="1:22" x14ac:dyDescent="0.3">
      <c r="A901" s="22" t="s">
        <v>912</v>
      </c>
      <c r="B901" s="12" t="s">
        <v>1911</v>
      </c>
      <c r="C901" s="12" t="s">
        <v>2012</v>
      </c>
      <c r="D901" s="13">
        <v>43497</v>
      </c>
      <c r="E901" s="14">
        <f t="shared" si="140"/>
        <v>506940</v>
      </c>
      <c r="F901" s="12">
        <v>36173</v>
      </c>
      <c r="G901" s="12">
        <v>6072</v>
      </c>
      <c r="H901" s="15">
        <f t="shared" si="141"/>
        <v>18086.5</v>
      </c>
      <c r="I901" s="15">
        <f t="shared" si="142"/>
        <v>7234.6</v>
      </c>
      <c r="J901" s="15">
        <f t="shared" si="143"/>
        <v>10851.900000000001</v>
      </c>
      <c r="K901" s="15">
        <f t="shared" si="144"/>
        <v>2170.38</v>
      </c>
      <c r="L901" s="12">
        <v>200</v>
      </c>
      <c r="M901" s="12">
        <f t="shared" si="145"/>
        <v>208</v>
      </c>
      <c r="N901" s="15">
        <v>4</v>
      </c>
      <c r="O901" s="15">
        <f t="shared" si="146"/>
        <v>86.95432692307692</v>
      </c>
      <c r="P901" s="15">
        <f t="shared" si="147"/>
        <v>173.90865384615384</v>
      </c>
      <c r="Q901" s="15">
        <f t="shared" si="148"/>
        <v>695.63461538461536</v>
      </c>
      <c r="R901" s="12">
        <v>39875</v>
      </c>
      <c r="S901" s="15">
        <f t="shared" si="149"/>
        <v>45947</v>
      </c>
      <c r="T901" s="20">
        <f>S901/median_percentile!$B$1</f>
        <v>0.91167395855035371</v>
      </c>
      <c r="U901" s="24" t="str" cm="1">
        <f t="array" ref="U901">_xlfn.IFS(T901&lt;1,"underpaid",T901&gt;1,"overpaid",T901=1,"median pay")</f>
        <v>underpaid</v>
      </c>
      <c r="V901" s="5"/>
    </row>
    <row r="902" spans="1:22" x14ac:dyDescent="0.3">
      <c r="A902" s="21" t="s">
        <v>913</v>
      </c>
      <c r="B902" s="8" t="s">
        <v>1912</v>
      </c>
      <c r="C902" s="8" t="s">
        <v>2015</v>
      </c>
      <c r="D902" s="9">
        <v>46000</v>
      </c>
      <c r="E902" s="10">
        <f t="shared" si="140"/>
        <v>696984</v>
      </c>
      <c r="F902" s="8">
        <v>49863</v>
      </c>
      <c r="G902" s="8">
        <v>8219</v>
      </c>
      <c r="H902" s="11">
        <f t="shared" si="141"/>
        <v>24931.5</v>
      </c>
      <c r="I902" s="11">
        <f t="shared" si="142"/>
        <v>9972.6</v>
      </c>
      <c r="J902" s="11">
        <f t="shared" si="143"/>
        <v>14958.900000000001</v>
      </c>
      <c r="K902" s="11">
        <f t="shared" si="144"/>
        <v>2991.7799999999997</v>
      </c>
      <c r="L902" s="8">
        <v>200</v>
      </c>
      <c r="M902" s="8">
        <f t="shared" si="145"/>
        <v>208</v>
      </c>
      <c r="N902" s="11">
        <v>2</v>
      </c>
      <c r="O902" s="11">
        <f t="shared" si="146"/>
        <v>119.86298076923077</v>
      </c>
      <c r="P902" s="11">
        <f t="shared" si="147"/>
        <v>239.72596153846155</v>
      </c>
      <c r="Q902" s="11">
        <f t="shared" si="148"/>
        <v>479.45192307692309</v>
      </c>
      <c r="R902" s="8">
        <v>54891</v>
      </c>
      <c r="S902" s="11">
        <f t="shared" si="149"/>
        <v>63110</v>
      </c>
      <c r="T902" s="20">
        <f>S902/median_percentile!$B$1</f>
        <v>1.2522198081292102</v>
      </c>
      <c r="U902" s="24" t="str" cm="1">
        <f t="array" ref="U902">_xlfn.IFS(T902&lt;1,"underpaid",T902&gt;1,"overpaid",T902=1,"median pay")</f>
        <v>overpaid</v>
      </c>
      <c r="V902" s="5"/>
    </row>
    <row r="903" spans="1:22" x14ac:dyDescent="0.3">
      <c r="A903" s="22" t="s">
        <v>914</v>
      </c>
      <c r="B903" s="12" t="s">
        <v>1913</v>
      </c>
      <c r="C903" s="12" t="s">
        <v>2013</v>
      </c>
      <c r="D903" s="13">
        <v>44250</v>
      </c>
      <c r="E903" s="14">
        <f t="shared" si="140"/>
        <v>708480</v>
      </c>
      <c r="F903" s="12">
        <v>51928</v>
      </c>
      <c r="G903" s="12">
        <v>7112</v>
      </c>
      <c r="H903" s="15">
        <f t="shared" si="141"/>
        <v>25964</v>
      </c>
      <c r="I903" s="15">
        <f t="shared" si="142"/>
        <v>10385.6</v>
      </c>
      <c r="J903" s="15">
        <f t="shared" si="143"/>
        <v>15578.400000000001</v>
      </c>
      <c r="K903" s="15">
        <f t="shared" si="144"/>
        <v>3115.68</v>
      </c>
      <c r="L903" s="12">
        <v>200</v>
      </c>
      <c r="M903" s="12">
        <f t="shared" si="145"/>
        <v>208</v>
      </c>
      <c r="N903" s="15">
        <v>1</v>
      </c>
      <c r="O903" s="15">
        <f t="shared" si="146"/>
        <v>124.82692307692308</v>
      </c>
      <c r="P903" s="15">
        <f t="shared" si="147"/>
        <v>249.65384615384616</v>
      </c>
      <c r="Q903" s="15">
        <f t="shared" si="148"/>
        <v>249.65384615384616</v>
      </c>
      <c r="R903" s="12">
        <v>55725</v>
      </c>
      <c r="S903" s="15">
        <f t="shared" si="149"/>
        <v>62837</v>
      </c>
      <c r="T903" s="20">
        <f>S903/median_percentile!$B$1</f>
        <v>1.2468029802474281</v>
      </c>
      <c r="U903" s="24" t="str" cm="1">
        <f t="array" ref="U903">_xlfn.IFS(T903&lt;1,"underpaid",T903&gt;1,"overpaid",T903=1,"median pay")</f>
        <v>overpaid</v>
      </c>
      <c r="V903" s="5"/>
    </row>
    <row r="904" spans="1:22" x14ac:dyDescent="0.3">
      <c r="A904" s="21" t="s">
        <v>915</v>
      </c>
      <c r="B904" s="8" t="s">
        <v>1914</v>
      </c>
      <c r="C904" s="8" t="s">
        <v>2011</v>
      </c>
      <c r="D904" s="9">
        <v>43741</v>
      </c>
      <c r="E904" s="10">
        <f t="shared" si="140"/>
        <v>398268</v>
      </c>
      <c r="F904" s="8">
        <v>28744</v>
      </c>
      <c r="G904" s="8">
        <v>4445</v>
      </c>
      <c r="H904" s="11">
        <f t="shared" si="141"/>
        <v>14372</v>
      </c>
      <c r="I904" s="11">
        <f t="shared" si="142"/>
        <v>5748.8</v>
      </c>
      <c r="J904" s="11">
        <f t="shared" si="143"/>
        <v>8623.2000000000007</v>
      </c>
      <c r="K904" s="11">
        <f t="shared" si="144"/>
        <v>1724.6399999999999</v>
      </c>
      <c r="L904" s="8">
        <v>200</v>
      </c>
      <c r="M904" s="8">
        <f t="shared" si="145"/>
        <v>208</v>
      </c>
      <c r="N904" s="11">
        <v>4</v>
      </c>
      <c r="O904" s="11">
        <f t="shared" si="146"/>
        <v>69.09615384615384</v>
      </c>
      <c r="P904" s="11">
        <f t="shared" si="147"/>
        <v>138.19230769230768</v>
      </c>
      <c r="Q904" s="11">
        <f t="shared" si="148"/>
        <v>552.76923076923072</v>
      </c>
      <c r="R904" s="8">
        <v>31265</v>
      </c>
      <c r="S904" s="11">
        <f t="shared" si="149"/>
        <v>35710</v>
      </c>
      <c r="T904" s="20">
        <f>S904/median_percentile!$B$1</f>
        <v>0.70855283391370771</v>
      </c>
      <c r="U904" s="24" t="str" cm="1">
        <f t="array" ref="U904">_xlfn.IFS(T904&lt;1,"underpaid",T904&gt;1,"overpaid",T904=1,"median pay")</f>
        <v>underpaid</v>
      </c>
      <c r="V904" s="5"/>
    </row>
    <row r="905" spans="1:22" x14ac:dyDescent="0.3">
      <c r="A905" s="22" t="s">
        <v>916</v>
      </c>
      <c r="B905" s="12" t="s">
        <v>1915</v>
      </c>
      <c r="C905" s="12" t="s">
        <v>2011</v>
      </c>
      <c r="D905" s="13">
        <v>43853</v>
      </c>
      <c r="E905" s="14">
        <f t="shared" si="140"/>
        <v>474960</v>
      </c>
      <c r="F905" s="12">
        <v>33589</v>
      </c>
      <c r="G905" s="12">
        <v>5991</v>
      </c>
      <c r="H905" s="15">
        <f t="shared" si="141"/>
        <v>16794.5</v>
      </c>
      <c r="I905" s="15">
        <f t="shared" si="142"/>
        <v>6717.8</v>
      </c>
      <c r="J905" s="15">
        <f t="shared" si="143"/>
        <v>10076.700000000001</v>
      </c>
      <c r="K905" s="15">
        <f t="shared" si="144"/>
        <v>2015.34</v>
      </c>
      <c r="L905" s="12">
        <v>200</v>
      </c>
      <c r="M905" s="12">
        <f t="shared" si="145"/>
        <v>208</v>
      </c>
      <c r="N905" s="15">
        <v>1</v>
      </c>
      <c r="O905" s="15">
        <f t="shared" si="146"/>
        <v>80.742788461538467</v>
      </c>
      <c r="P905" s="15">
        <f t="shared" si="147"/>
        <v>161.48557692307693</v>
      </c>
      <c r="Q905" s="15">
        <f t="shared" si="148"/>
        <v>161.48557692307693</v>
      </c>
      <c r="R905" s="12">
        <v>37644</v>
      </c>
      <c r="S905" s="15">
        <f t="shared" si="149"/>
        <v>43635</v>
      </c>
      <c r="T905" s="20">
        <f>S905/median_percentile!$B$1</f>
        <v>0.8657995773683741</v>
      </c>
      <c r="U905" s="24" t="str" cm="1">
        <f t="array" ref="U905">_xlfn.IFS(T905&lt;1,"underpaid",T905&gt;1,"overpaid",T905=1,"median pay")</f>
        <v>underpaid</v>
      </c>
      <c r="V905" s="5"/>
    </row>
    <row r="906" spans="1:22" x14ac:dyDescent="0.3">
      <c r="A906" s="21" t="s">
        <v>917</v>
      </c>
      <c r="B906" s="8" t="s">
        <v>1916</v>
      </c>
      <c r="C906" s="8" t="s">
        <v>2015</v>
      </c>
      <c r="D906" s="9">
        <v>44016</v>
      </c>
      <c r="E906" s="10">
        <f t="shared" si="140"/>
        <v>391296</v>
      </c>
      <c r="F906" s="8">
        <v>29306</v>
      </c>
      <c r="G906" s="8">
        <v>3302</v>
      </c>
      <c r="H906" s="11">
        <f t="shared" si="141"/>
        <v>14653</v>
      </c>
      <c r="I906" s="11">
        <f t="shared" si="142"/>
        <v>5861.2000000000007</v>
      </c>
      <c r="J906" s="11">
        <f t="shared" si="143"/>
        <v>8791.7999999999993</v>
      </c>
      <c r="K906" s="11">
        <f t="shared" si="144"/>
        <v>1758.36</v>
      </c>
      <c r="L906" s="8">
        <v>200</v>
      </c>
      <c r="M906" s="8">
        <f t="shared" si="145"/>
        <v>208</v>
      </c>
      <c r="N906" s="11">
        <v>1</v>
      </c>
      <c r="O906" s="11">
        <f t="shared" si="146"/>
        <v>70.447115384615387</v>
      </c>
      <c r="P906" s="11">
        <f t="shared" si="147"/>
        <v>140.89423076923077</v>
      </c>
      <c r="Q906" s="11">
        <f t="shared" si="148"/>
        <v>140.89423076923077</v>
      </c>
      <c r="R906" s="8">
        <v>30650</v>
      </c>
      <c r="S906" s="11">
        <f t="shared" si="149"/>
        <v>33952</v>
      </c>
      <c r="T906" s="20">
        <f>S906/median_percentile!$B$1</f>
        <v>0.6736708433782751</v>
      </c>
      <c r="U906" s="24" t="str" cm="1">
        <f t="array" ref="U906">_xlfn.IFS(T906&lt;1,"underpaid",T906&gt;1,"overpaid",T906=1,"median pay")</f>
        <v>underpaid</v>
      </c>
      <c r="V906" s="5"/>
    </row>
    <row r="907" spans="1:22" x14ac:dyDescent="0.3">
      <c r="A907" s="22" t="s">
        <v>918</v>
      </c>
      <c r="B907" s="12" t="s">
        <v>1917</v>
      </c>
      <c r="C907" s="12" t="s">
        <v>2011</v>
      </c>
      <c r="D907" s="13">
        <v>45282</v>
      </c>
      <c r="E907" s="14">
        <f t="shared" si="140"/>
        <v>380928</v>
      </c>
      <c r="F907" s="12">
        <v>27590</v>
      </c>
      <c r="G907" s="12">
        <v>4154</v>
      </c>
      <c r="H907" s="15">
        <f t="shared" si="141"/>
        <v>13795</v>
      </c>
      <c r="I907" s="15">
        <f t="shared" si="142"/>
        <v>5518</v>
      </c>
      <c r="J907" s="15">
        <f t="shared" si="143"/>
        <v>8277</v>
      </c>
      <c r="K907" s="15">
        <f t="shared" si="144"/>
        <v>1655.3999999999999</v>
      </c>
      <c r="L907" s="12">
        <v>200</v>
      </c>
      <c r="M907" s="12">
        <f t="shared" si="145"/>
        <v>208</v>
      </c>
      <c r="N907" s="15">
        <v>4</v>
      </c>
      <c r="O907" s="15">
        <f t="shared" si="146"/>
        <v>66.322115384615387</v>
      </c>
      <c r="P907" s="15">
        <f t="shared" si="147"/>
        <v>132.64423076923077</v>
      </c>
      <c r="Q907" s="15">
        <f t="shared" si="148"/>
        <v>530.57692307692309</v>
      </c>
      <c r="R907" s="12">
        <v>29889</v>
      </c>
      <c r="S907" s="15">
        <f t="shared" si="149"/>
        <v>34043</v>
      </c>
      <c r="T907" s="20">
        <f>S907/median_percentile!$B$1</f>
        <v>0.67547645267220258</v>
      </c>
      <c r="U907" s="24" t="str" cm="1">
        <f t="array" ref="U907">_xlfn.IFS(T907&lt;1,"underpaid",T907&gt;1,"overpaid",T907=1,"median pay")</f>
        <v>underpaid</v>
      </c>
      <c r="V907" s="5"/>
    </row>
    <row r="908" spans="1:22" x14ac:dyDescent="0.3">
      <c r="A908" s="21" t="s">
        <v>919</v>
      </c>
      <c r="B908" s="8" t="s">
        <v>1918</v>
      </c>
      <c r="C908" s="8" t="s">
        <v>2013</v>
      </c>
      <c r="D908" s="9">
        <v>43489</v>
      </c>
      <c r="E908" s="10">
        <f t="shared" si="140"/>
        <v>864576</v>
      </c>
      <c r="F908" s="8">
        <v>61199</v>
      </c>
      <c r="G908" s="8">
        <v>10849</v>
      </c>
      <c r="H908" s="11">
        <f t="shared" si="141"/>
        <v>30599.5</v>
      </c>
      <c r="I908" s="11">
        <f t="shared" si="142"/>
        <v>12239.800000000001</v>
      </c>
      <c r="J908" s="11">
        <f t="shared" si="143"/>
        <v>18359.699999999997</v>
      </c>
      <c r="K908" s="11">
        <f t="shared" si="144"/>
        <v>3671.94</v>
      </c>
      <c r="L908" s="8">
        <v>200</v>
      </c>
      <c r="M908" s="8">
        <f t="shared" si="145"/>
        <v>208</v>
      </c>
      <c r="N908" s="11">
        <v>5</v>
      </c>
      <c r="O908" s="11">
        <f t="shared" si="146"/>
        <v>147.11298076923077</v>
      </c>
      <c r="P908" s="11">
        <f t="shared" si="147"/>
        <v>294.22596153846155</v>
      </c>
      <c r="Q908" s="11">
        <f t="shared" si="148"/>
        <v>1471.1298076923076</v>
      </c>
      <c r="R908" s="8">
        <v>69196</v>
      </c>
      <c r="S908" s="11">
        <f t="shared" si="149"/>
        <v>80045</v>
      </c>
      <c r="T908" s="20">
        <f>S908/median_percentile!$B$1</f>
        <v>1.5882417135430618</v>
      </c>
      <c r="U908" s="24" t="str" cm="1">
        <f t="array" ref="U908">_xlfn.IFS(T908&lt;1,"underpaid",T908&gt;1,"overpaid",T908=1,"median pay")</f>
        <v>overpaid</v>
      </c>
      <c r="V908" s="5"/>
    </row>
    <row r="909" spans="1:22" x14ac:dyDescent="0.3">
      <c r="A909" s="22" t="s">
        <v>920</v>
      </c>
      <c r="B909" s="12" t="s">
        <v>1919</v>
      </c>
      <c r="C909" s="12" t="s">
        <v>2013</v>
      </c>
      <c r="D909" s="13">
        <v>44139</v>
      </c>
      <c r="E909" s="14">
        <f t="shared" si="140"/>
        <v>825912</v>
      </c>
      <c r="F909" s="12">
        <v>58055</v>
      </c>
      <c r="G909" s="12">
        <v>10771</v>
      </c>
      <c r="H909" s="15">
        <f t="shared" si="141"/>
        <v>29027.5</v>
      </c>
      <c r="I909" s="15">
        <f t="shared" si="142"/>
        <v>11611</v>
      </c>
      <c r="J909" s="15">
        <f t="shared" si="143"/>
        <v>17416.5</v>
      </c>
      <c r="K909" s="15">
        <f t="shared" si="144"/>
        <v>3483.2999999999997</v>
      </c>
      <c r="L909" s="12">
        <v>200</v>
      </c>
      <c r="M909" s="12">
        <f t="shared" si="145"/>
        <v>208</v>
      </c>
      <c r="N909" s="15">
        <v>2</v>
      </c>
      <c r="O909" s="15">
        <f t="shared" si="146"/>
        <v>139.55528846153845</v>
      </c>
      <c r="P909" s="15">
        <f t="shared" si="147"/>
        <v>279.11057692307691</v>
      </c>
      <c r="Q909" s="15">
        <f t="shared" si="148"/>
        <v>558.22115384615381</v>
      </c>
      <c r="R909" s="12">
        <v>65143</v>
      </c>
      <c r="S909" s="15">
        <f t="shared" si="149"/>
        <v>75914</v>
      </c>
      <c r="T909" s="20">
        <f>S909/median_percentile!$B$1</f>
        <v>1.506274988342907</v>
      </c>
      <c r="U909" s="24" t="str" cm="1">
        <f t="array" ref="U909">_xlfn.IFS(T909&lt;1,"underpaid",T909&gt;1,"overpaid",T909=1,"median pay")</f>
        <v>overpaid</v>
      </c>
      <c r="V909" s="5"/>
    </row>
    <row r="910" spans="1:22" x14ac:dyDescent="0.3">
      <c r="A910" s="21" t="s">
        <v>921</v>
      </c>
      <c r="B910" s="8" t="s">
        <v>1920</v>
      </c>
      <c r="C910" s="8" t="s">
        <v>2015</v>
      </c>
      <c r="D910" s="9">
        <v>44121</v>
      </c>
      <c r="E910" s="10">
        <f t="shared" si="140"/>
        <v>731112</v>
      </c>
      <c r="F910" s="8">
        <v>53675</v>
      </c>
      <c r="G910" s="8">
        <v>7251</v>
      </c>
      <c r="H910" s="11">
        <f t="shared" si="141"/>
        <v>26837.5</v>
      </c>
      <c r="I910" s="11">
        <f t="shared" si="142"/>
        <v>10735</v>
      </c>
      <c r="J910" s="11">
        <f t="shared" si="143"/>
        <v>16102.5</v>
      </c>
      <c r="K910" s="11">
        <f t="shared" si="144"/>
        <v>3220.5</v>
      </c>
      <c r="L910" s="8">
        <v>200</v>
      </c>
      <c r="M910" s="8">
        <f t="shared" si="145"/>
        <v>208</v>
      </c>
      <c r="N910" s="11">
        <v>3</v>
      </c>
      <c r="O910" s="11">
        <f t="shared" si="146"/>
        <v>129.02644230769232</v>
      </c>
      <c r="P910" s="11">
        <f t="shared" si="147"/>
        <v>258.05288461538464</v>
      </c>
      <c r="Q910" s="11">
        <f t="shared" si="148"/>
        <v>774.15865384615392</v>
      </c>
      <c r="R910" s="8">
        <v>57953</v>
      </c>
      <c r="S910" s="11">
        <f t="shared" si="149"/>
        <v>65204</v>
      </c>
      <c r="T910" s="20">
        <f>S910/median_percentile!$B$1</f>
        <v>1.2937686637499133</v>
      </c>
      <c r="U910" s="24" t="str" cm="1">
        <f t="array" ref="U910">_xlfn.IFS(T910&lt;1,"underpaid",T910&gt;1,"overpaid",T910=1,"median pay")</f>
        <v>overpaid</v>
      </c>
      <c r="V910" s="5"/>
    </row>
    <row r="911" spans="1:22" x14ac:dyDescent="0.3">
      <c r="A911" s="22" t="s">
        <v>922</v>
      </c>
      <c r="B911" s="12" t="s">
        <v>1921</v>
      </c>
      <c r="C911" s="12" t="s">
        <v>2016</v>
      </c>
      <c r="D911" s="13">
        <v>45114</v>
      </c>
      <c r="E911" s="14">
        <f t="shared" si="140"/>
        <v>619284</v>
      </c>
      <c r="F911" s="12">
        <v>46018</v>
      </c>
      <c r="G911" s="12">
        <v>5589</v>
      </c>
      <c r="H911" s="15">
        <f t="shared" si="141"/>
        <v>23009</v>
      </c>
      <c r="I911" s="15">
        <f t="shared" si="142"/>
        <v>9203.6</v>
      </c>
      <c r="J911" s="15">
        <f t="shared" si="143"/>
        <v>13805.400000000001</v>
      </c>
      <c r="K911" s="15">
        <f t="shared" si="144"/>
        <v>2761.08</v>
      </c>
      <c r="L911" s="12">
        <v>200</v>
      </c>
      <c r="M911" s="12">
        <f t="shared" si="145"/>
        <v>208</v>
      </c>
      <c r="N911" s="15">
        <v>1</v>
      </c>
      <c r="O911" s="15">
        <f t="shared" si="146"/>
        <v>110.62019230769231</v>
      </c>
      <c r="P911" s="15">
        <f t="shared" si="147"/>
        <v>221.24038461538461</v>
      </c>
      <c r="Q911" s="15">
        <f t="shared" si="148"/>
        <v>221.24038461538461</v>
      </c>
      <c r="R911" s="12">
        <v>48646</v>
      </c>
      <c r="S911" s="15">
        <f t="shared" si="149"/>
        <v>54235</v>
      </c>
      <c r="T911" s="20">
        <f>S911/median_percentile!$B$1</f>
        <v>1.0761232973203567</v>
      </c>
      <c r="U911" s="24" t="str" cm="1">
        <f t="array" ref="U911">_xlfn.IFS(T911&lt;1,"underpaid",T911&gt;1,"overpaid",T911=1,"median pay")</f>
        <v>overpaid</v>
      </c>
      <c r="V911" s="5"/>
    </row>
    <row r="912" spans="1:22" x14ac:dyDescent="0.3">
      <c r="A912" s="21" t="s">
        <v>923</v>
      </c>
      <c r="B912" s="8" t="s">
        <v>1922</v>
      </c>
      <c r="C912" s="8" t="s">
        <v>2012</v>
      </c>
      <c r="D912" s="9">
        <v>43526</v>
      </c>
      <c r="E912" s="10">
        <f t="shared" si="140"/>
        <v>395208</v>
      </c>
      <c r="F912" s="8">
        <v>27779</v>
      </c>
      <c r="G912" s="8">
        <v>5155</v>
      </c>
      <c r="H912" s="11">
        <f t="shared" si="141"/>
        <v>13889.5</v>
      </c>
      <c r="I912" s="11">
        <f t="shared" si="142"/>
        <v>5555.8</v>
      </c>
      <c r="J912" s="11">
        <f t="shared" si="143"/>
        <v>8333.7000000000007</v>
      </c>
      <c r="K912" s="11">
        <f t="shared" si="144"/>
        <v>1666.74</v>
      </c>
      <c r="L912" s="8">
        <v>200</v>
      </c>
      <c r="M912" s="8">
        <f t="shared" si="145"/>
        <v>208</v>
      </c>
      <c r="N912" s="11">
        <v>5</v>
      </c>
      <c r="O912" s="11">
        <f t="shared" si="146"/>
        <v>66.776442307692307</v>
      </c>
      <c r="P912" s="11">
        <f t="shared" si="147"/>
        <v>133.55288461538461</v>
      </c>
      <c r="Q912" s="11">
        <f t="shared" si="148"/>
        <v>667.76442307692309</v>
      </c>
      <c r="R912" s="8">
        <v>31530</v>
      </c>
      <c r="S912" s="11">
        <f t="shared" si="149"/>
        <v>36685</v>
      </c>
      <c r="T912" s="20">
        <f>S912/median_percentile!$B$1</f>
        <v>0.72789864777721558</v>
      </c>
      <c r="U912" s="24" t="str" cm="1">
        <f t="array" ref="U912">_xlfn.IFS(T912&lt;1,"underpaid",T912&gt;1,"overpaid",T912=1,"median pay")</f>
        <v>underpaid</v>
      </c>
      <c r="V912" s="5"/>
    </row>
    <row r="913" spans="1:22" x14ac:dyDescent="0.3">
      <c r="A913" s="22" t="s">
        <v>924</v>
      </c>
      <c r="B913" s="12" t="s">
        <v>1923</v>
      </c>
      <c r="C913" s="12" t="s">
        <v>2012</v>
      </c>
      <c r="D913" s="13">
        <v>43649</v>
      </c>
      <c r="E913" s="14">
        <f t="shared" si="140"/>
        <v>460332</v>
      </c>
      <c r="F913" s="12">
        <v>33785</v>
      </c>
      <c r="G913" s="12">
        <v>4576</v>
      </c>
      <c r="H913" s="15">
        <f t="shared" si="141"/>
        <v>16892.5</v>
      </c>
      <c r="I913" s="15">
        <f t="shared" si="142"/>
        <v>6757</v>
      </c>
      <c r="J913" s="15">
        <f t="shared" si="143"/>
        <v>10135.5</v>
      </c>
      <c r="K913" s="15">
        <f t="shared" si="144"/>
        <v>2027.1</v>
      </c>
      <c r="L913" s="12">
        <v>200</v>
      </c>
      <c r="M913" s="12">
        <f t="shared" si="145"/>
        <v>208</v>
      </c>
      <c r="N913" s="15">
        <v>0</v>
      </c>
      <c r="O913" s="15">
        <f t="shared" si="146"/>
        <v>81.213942307692307</v>
      </c>
      <c r="P913" s="15">
        <f t="shared" si="147"/>
        <v>162.42788461538461</v>
      </c>
      <c r="Q913" s="15">
        <f t="shared" si="148"/>
        <v>0</v>
      </c>
      <c r="R913" s="12">
        <v>36134</v>
      </c>
      <c r="S913" s="15">
        <f t="shared" si="149"/>
        <v>40710</v>
      </c>
      <c r="T913" s="20">
        <f>S913/median_percentile!$B$1</f>
        <v>0.8077621357778505</v>
      </c>
      <c r="U913" s="24" t="str" cm="1">
        <f t="array" ref="U913">_xlfn.IFS(T913&lt;1,"underpaid",T913&gt;1,"overpaid",T913=1,"median pay")</f>
        <v>underpaid</v>
      </c>
      <c r="V913" s="5"/>
    </row>
    <row r="914" spans="1:22" x14ac:dyDescent="0.3">
      <c r="A914" s="21" t="s">
        <v>925</v>
      </c>
      <c r="B914" s="8" t="s">
        <v>1924</v>
      </c>
      <c r="C914" s="8" t="s">
        <v>2015</v>
      </c>
      <c r="D914" s="9">
        <v>44693</v>
      </c>
      <c r="E914" s="10">
        <f t="shared" si="140"/>
        <v>553620</v>
      </c>
      <c r="F914" s="8">
        <v>41400</v>
      </c>
      <c r="G914" s="8">
        <v>4735</v>
      </c>
      <c r="H914" s="11">
        <f t="shared" si="141"/>
        <v>20700</v>
      </c>
      <c r="I914" s="11">
        <f t="shared" si="142"/>
        <v>8280</v>
      </c>
      <c r="J914" s="11">
        <f t="shared" si="143"/>
        <v>12420</v>
      </c>
      <c r="K914" s="11">
        <f t="shared" si="144"/>
        <v>2484</v>
      </c>
      <c r="L914" s="8">
        <v>200</v>
      </c>
      <c r="M914" s="8">
        <f t="shared" si="145"/>
        <v>208</v>
      </c>
      <c r="N914" s="11">
        <v>4</v>
      </c>
      <c r="O914" s="11">
        <f t="shared" si="146"/>
        <v>99.519230769230774</v>
      </c>
      <c r="P914" s="11">
        <f t="shared" si="147"/>
        <v>199.03846153846155</v>
      </c>
      <c r="Q914" s="11">
        <f t="shared" si="148"/>
        <v>796.15384615384619</v>
      </c>
      <c r="R914" s="8">
        <v>44141</v>
      </c>
      <c r="S914" s="11">
        <f t="shared" si="149"/>
        <v>48876</v>
      </c>
      <c r="T914" s="20">
        <f>S914/median_percentile!$B$1</f>
        <v>0.96979076758236848</v>
      </c>
      <c r="U914" s="24" t="str" cm="1">
        <f t="array" ref="U914">_xlfn.IFS(T914&lt;1,"underpaid",T914&gt;1,"overpaid",T914=1,"median pay")</f>
        <v>underpaid</v>
      </c>
      <c r="V914" s="5"/>
    </row>
    <row r="915" spans="1:22" x14ac:dyDescent="0.3">
      <c r="A915" s="22" t="s">
        <v>926</v>
      </c>
      <c r="B915" s="12" t="s">
        <v>1925</v>
      </c>
      <c r="C915" s="12" t="s">
        <v>2011</v>
      </c>
      <c r="D915" s="13">
        <v>44483</v>
      </c>
      <c r="E915" s="14">
        <f t="shared" si="140"/>
        <v>457908</v>
      </c>
      <c r="F915" s="12">
        <v>32095</v>
      </c>
      <c r="G915" s="12">
        <v>6064</v>
      </c>
      <c r="H915" s="15">
        <f t="shared" si="141"/>
        <v>16047.5</v>
      </c>
      <c r="I915" s="15">
        <f t="shared" si="142"/>
        <v>6419</v>
      </c>
      <c r="J915" s="15">
        <f t="shared" si="143"/>
        <v>9628.5</v>
      </c>
      <c r="K915" s="15">
        <f t="shared" si="144"/>
        <v>1925.6999999999998</v>
      </c>
      <c r="L915" s="12">
        <v>200</v>
      </c>
      <c r="M915" s="12">
        <f t="shared" si="145"/>
        <v>208</v>
      </c>
      <c r="N915" s="15">
        <v>5</v>
      </c>
      <c r="O915" s="15">
        <f t="shared" si="146"/>
        <v>77.151442307692307</v>
      </c>
      <c r="P915" s="15">
        <f t="shared" si="147"/>
        <v>154.30288461538461</v>
      </c>
      <c r="Q915" s="15">
        <f t="shared" si="148"/>
        <v>771.51442307692309</v>
      </c>
      <c r="R915" s="12">
        <v>36301</v>
      </c>
      <c r="S915" s="15">
        <f t="shared" si="149"/>
        <v>42365</v>
      </c>
      <c r="T915" s="20">
        <f>S915/median_percentile!$B$1</f>
        <v>0.84060041469488178</v>
      </c>
      <c r="U915" s="24" t="str" cm="1">
        <f t="array" ref="U915">_xlfn.IFS(T915&lt;1,"underpaid",T915&gt;1,"overpaid",T915=1,"median pay")</f>
        <v>underpaid</v>
      </c>
      <c r="V915" s="5"/>
    </row>
    <row r="916" spans="1:22" x14ac:dyDescent="0.3">
      <c r="A916" s="21" t="s">
        <v>927</v>
      </c>
      <c r="B916" s="8" t="s">
        <v>1926</v>
      </c>
      <c r="C916" s="8" t="s">
        <v>2013</v>
      </c>
      <c r="D916" s="9">
        <v>45184</v>
      </c>
      <c r="E916" s="10">
        <f t="shared" si="140"/>
        <v>442284</v>
      </c>
      <c r="F916" s="8">
        <v>32079</v>
      </c>
      <c r="G916" s="8">
        <v>4778</v>
      </c>
      <c r="H916" s="11">
        <f t="shared" si="141"/>
        <v>16039.5</v>
      </c>
      <c r="I916" s="11">
        <f t="shared" si="142"/>
        <v>6415.8</v>
      </c>
      <c r="J916" s="11">
        <f t="shared" si="143"/>
        <v>9623.7000000000007</v>
      </c>
      <c r="K916" s="11">
        <f t="shared" si="144"/>
        <v>1924.74</v>
      </c>
      <c r="L916" s="8">
        <v>200</v>
      </c>
      <c r="M916" s="8">
        <f t="shared" si="145"/>
        <v>208</v>
      </c>
      <c r="N916" s="11">
        <v>4</v>
      </c>
      <c r="O916" s="11">
        <f t="shared" si="146"/>
        <v>77.112980769230774</v>
      </c>
      <c r="P916" s="11">
        <f t="shared" si="147"/>
        <v>154.22596153846155</v>
      </c>
      <c r="Q916" s="11">
        <f t="shared" si="148"/>
        <v>616.90384615384619</v>
      </c>
      <c r="R916" s="8">
        <v>34733</v>
      </c>
      <c r="S916" s="11">
        <f t="shared" si="149"/>
        <v>39511</v>
      </c>
      <c r="T916" s="20">
        <f>S916/median_percentile!$B$1</f>
        <v>0.78397174519082913</v>
      </c>
      <c r="U916" s="24" t="str" cm="1">
        <f t="array" ref="U916">_xlfn.IFS(T916&lt;1,"underpaid",T916&gt;1,"overpaid",T916=1,"median pay")</f>
        <v>underpaid</v>
      </c>
      <c r="V916" s="5"/>
    </row>
    <row r="917" spans="1:22" x14ac:dyDescent="0.3">
      <c r="A917" s="22" t="s">
        <v>928</v>
      </c>
      <c r="B917" s="12" t="s">
        <v>1927</v>
      </c>
      <c r="C917" s="12" t="s">
        <v>2015</v>
      </c>
      <c r="D917" s="13">
        <v>43885</v>
      </c>
      <c r="E917" s="14">
        <f t="shared" si="140"/>
        <v>509484</v>
      </c>
      <c r="F917" s="12">
        <v>37651</v>
      </c>
      <c r="G917" s="12">
        <v>4806</v>
      </c>
      <c r="H917" s="15">
        <f t="shared" si="141"/>
        <v>18825.5</v>
      </c>
      <c r="I917" s="15">
        <f t="shared" si="142"/>
        <v>7530.2000000000007</v>
      </c>
      <c r="J917" s="15">
        <f t="shared" si="143"/>
        <v>11295.3</v>
      </c>
      <c r="K917" s="15">
        <f t="shared" si="144"/>
        <v>2259.06</v>
      </c>
      <c r="L917" s="12">
        <v>200</v>
      </c>
      <c r="M917" s="12">
        <f t="shared" si="145"/>
        <v>208</v>
      </c>
      <c r="N917" s="15">
        <v>4</v>
      </c>
      <c r="O917" s="15">
        <f t="shared" si="146"/>
        <v>90.507211538461533</v>
      </c>
      <c r="P917" s="15">
        <f t="shared" si="147"/>
        <v>181.01442307692307</v>
      </c>
      <c r="Q917" s="15">
        <f t="shared" si="148"/>
        <v>724.05769230769226</v>
      </c>
      <c r="R917" s="12">
        <v>40625</v>
      </c>
      <c r="S917" s="15">
        <f t="shared" si="149"/>
        <v>45431</v>
      </c>
      <c r="T917" s="20">
        <f>S917/median_percentile!$B$1</f>
        <v>0.9014355585979742</v>
      </c>
      <c r="U917" s="24" t="str" cm="1">
        <f t="array" ref="U917">_xlfn.IFS(T917&lt;1,"underpaid",T917&gt;1,"overpaid",T917=1,"median pay")</f>
        <v>underpaid</v>
      </c>
      <c r="V917" s="5"/>
    </row>
    <row r="918" spans="1:22" x14ac:dyDescent="0.3">
      <c r="A918" s="21" t="s">
        <v>929</v>
      </c>
      <c r="B918" s="8" t="s">
        <v>1928</v>
      </c>
      <c r="C918" s="8" t="s">
        <v>2013</v>
      </c>
      <c r="D918" s="9">
        <v>44729</v>
      </c>
      <c r="E918" s="10">
        <f t="shared" si="140"/>
        <v>514488</v>
      </c>
      <c r="F918" s="8">
        <v>36259</v>
      </c>
      <c r="G918" s="8">
        <v>6615</v>
      </c>
      <c r="H918" s="11">
        <f t="shared" si="141"/>
        <v>18129.5</v>
      </c>
      <c r="I918" s="11">
        <f t="shared" si="142"/>
        <v>7251.8</v>
      </c>
      <c r="J918" s="11">
        <f t="shared" si="143"/>
        <v>10877.7</v>
      </c>
      <c r="K918" s="11">
        <f t="shared" si="144"/>
        <v>2175.54</v>
      </c>
      <c r="L918" s="8">
        <v>200</v>
      </c>
      <c r="M918" s="8">
        <f t="shared" si="145"/>
        <v>208</v>
      </c>
      <c r="N918" s="11">
        <v>2</v>
      </c>
      <c r="O918" s="11">
        <f t="shared" si="146"/>
        <v>87.161057692307693</v>
      </c>
      <c r="P918" s="11">
        <f t="shared" si="147"/>
        <v>174.32211538461539</v>
      </c>
      <c r="Q918" s="11">
        <f t="shared" si="148"/>
        <v>348.64423076923077</v>
      </c>
      <c r="R918" s="8">
        <v>40499</v>
      </c>
      <c r="S918" s="11">
        <f t="shared" si="149"/>
        <v>47114</v>
      </c>
      <c r="T918" s="20">
        <f>S918/median_percentile!$B$1</f>
        <v>0.93482940960544458</v>
      </c>
      <c r="U918" s="24" t="str" cm="1">
        <f t="array" ref="U918">_xlfn.IFS(T918&lt;1,"underpaid",T918&gt;1,"overpaid",T918=1,"median pay")</f>
        <v>underpaid</v>
      </c>
      <c r="V918" s="5"/>
    </row>
    <row r="919" spans="1:22" x14ac:dyDescent="0.3">
      <c r="A919" s="22" t="s">
        <v>930</v>
      </c>
      <c r="B919" s="12" t="s">
        <v>1929</v>
      </c>
      <c r="C919" s="12" t="s">
        <v>2012</v>
      </c>
      <c r="D919" s="13">
        <v>44807</v>
      </c>
      <c r="E919" s="14">
        <f t="shared" si="140"/>
        <v>578568</v>
      </c>
      <c r="F919" s="12">
        <v>40306</v>
      </c>
      <c r="G919" s="12">
        <v>7908</v>
      </c>
      <c r="H919" s="15">
        <f t="shared" si="141"/>
        <v>20153</v>
      </c>
      <c r="I919" s="15">
        <f t="shared" si="142"/>
        <v>8061.2000000000007</v>
      </c>
      <c r="J919" s="15">
        <f t="shared" si="143"/>
        <v>12091.8</v>
      </c>
      <c r="K919" s="15">
        <f t="shared" si="144"/>
        <v>2418.36</v>
      </c>
      <c r="L919" s="12">
        <v>200</v>
      </c>
      <c r="M919" s="12">
        <f t="shared" si="145"/>
        <v>208</v>
      </c>
      <c r="N919" s="15">
        <v>2</v>
      </c>
      <c r="O919" s="15">
        <f t="shared" si="146"/>
        <v>96.88942307692308</v>
      </c>
      <c r="P919" s="15">
        <f t="shared" si="147"/>
        <v>193.77884615384616</v>
      </c>
      <c r="Q919" s="15">
        <f t="shared" si="148"/>
        <v>387.55769230769232</v>
      </c>
      <c r="R919" s="12">
        <v>46267</v>
      </c>
      <c r="S919" s="15">
        <f t="shared" si="149"/>
        <v>54175</v>
      </c>
      <c r="T919" s="20">
        <f>S919/median_percentile!$B$1</f>
        <v>1.0749327856979871</v>
      </c>
      <c r="U919" s="24" t="str" cm="1">
        <f t="array" ref="U919">_xlfn.IFS(T919&lt;1,"underpaid",T919&gt;1,"overpaid",T919=1,"median pay")</f>
        <v>overpaid</v>
      </c>
      <c r="V919" s="5"/>
    </row>
    <row r="920" spans="1:22" x14ac:dyDescent="0.3">
      <c r="A920" s="21" t="s">
        <v>931</v>
      </c>
      <c r="B920" s="8" t="s">
        <v>1930</v>
      </c>
      <c r="C920" s="8" t="s">
        <v>2013</v>
      </c>
      <c r="D920" s="9">
        <v>45943</v>
      </c>
      <c r="E920" s="10">
        <f t="shared" si="140"/>
        <v>682524</v>
      </c>
      <c r="F920" s="8">
        <v>51004</v>
      </c>
      <c r="G920" s="8">
        <v>5873</v>
      </c>
      <c r="H920" s="11">
        <f t="shared" si="141"/>
        <v>25502</v>
      </c>
      <c r="I920" s="11">
        <f t="shared" si="142"/>
        <v>10200.800000000001</v>
      </c>
      <c r="J920" s="11">
        <f t="shared" si="143"/>
        <v>15301.199999999997</v>
      </c>
      <c r="K920" s="11">
        <f t="shared" si="144"/>
        <v>3060.24</v>
      </c>
      <c r="L920" s="8">
        <v>200</v>
      </c>
      <c r="M920" s="8">
        <f t="shared" si="145"/>
        <v>208</v>
      </c>
      <c r="N920" s="11">
        <v>1</v>
      </c>
      <c r="O920" s="11">
        <f t="shared" si="146"/>
        <v>122.60576923076923</v>
      </c>
      <c r="P920" s="11">
        <f t="shared" si="147"/>
        <v>245.21153846153845</v>
      </c>
      <c r="Q920" s="11">
        <f t="shared" si="148"/>
        <v>245.21153846153845</v>
      </c>
      <c r="R920" s="8">
        <v>54042</v>
      </c>
      <c r="S920" s="11">
        <f t="shared" si="149"/>
        <v>59915</v>
      </c>
      <c r="T920" s="20">
        <f>S920/median_percentile!$B$1</f>
        <v>1.1888250642380229</v>
      </c>
      <c r="U920" s="24" t="str" cm="1">
        <f t="array" ref="U920">_xlfn.IFS(T920&lt;1,"underpaid",T920&gt;1,"overpaid",T920=1,"median pay")</f>
        <v>overpaid</v>
      </c>
      <c r="V920" s="5"/>
    </row>
    <row r="921" spans="1:22" x14ac:dyDescent="0.3">
      <c r="A921" s="22" t="s">
        <v>932</v>
      </c>
      <c r="B921" s="12" t="s">
        <v>1931</v>
      </c>
      <c r="C921" s="12" t="s">
        <v>2016</v>
      </c>
      <c r="D921" s="13">
        <v>44676</v>
      </c>
      <c r="E921" s="14">
        <f t="shared" si="140"/>
        <v>627120</v>
      </c>
      <c r="F921" s="12">
        <v>45706</v>
      </c>
      <c r="G921" s="12">
        <v>6554</v>
      </c>
      <c r="H921" s="15">
        <f t="shared" si="141"/>
        <v>22853</v>
      </c>
      <c r="I921" s="15">
        <f t="shared" si="142"/>
        <v>9141.2000000000007</v>
      </c>
      <c r="J921" s="15">
        <f t="shared" si="143"/>
        <v>13711.8</v>
      </c>
      <c r="K921" s="15">
        <f t="shared" si="144"/>
        <v>2742.3599999999997</v>
      </c>
      <c r="L921" s="12">
        <v>200</v>
      </c>
      <c r="M921" s="12">
        <f t="shared" si="145"/>
        <v>208</v>
      </c>
      <c r="N921" s="15">
        <v>1</v>
      </c>
      <c r="O921" s="15">
        <f t="shared" si="146"/>
        <v>109.87019230769231</v>
      </c>
      <c r="P921" s="15">
        <f t="shared" si="147"/>
        <v>219.74038461538461</v>
      </c>
      <c r="Q921" s="15">
        <f t="shared" si="148"/>
        <v>219.74038461538461</v>
      </c>
      <c r="R921" s="12">
        <v>49318</v>
      </c>
      <c r="S921" s="15">
        <f t="shared" si="149"/>
        <v>55872</v>
      </c>
      <c r="T921" s="20">
        <f>S921/median_percentile!$B$1</f>
        <v>1.1086044227506771</v>
      </c>
      <c r="U921" s="24" t="str" cm="1">
        <f t="array" ref="U921">_xlfn.IFS(T921&lt;1,"underpaid",T921&gt;1,"overpaid",T921=1,"median pay")</f>
        <v>overpaid</v>
      </c>
      <c r="V921" s="5"/>
    </row>
    <row r="922" spans="1:22" x14ac:dyDescent="0.3">
      <c r="A922" s="21" t="s">
        <v>933</v>
      </c>
      <c r="B922" s="8" t="s">
        <v>1932</v>
      </c>
      <c r="C922" s="8" t="s">
        <v>2013</v>
      </c>
      <c r="D922" s="9">
        <v>44753</v>
      </c>
      <c r="E922" s="10">
        <f t="shared" si="140"/>
        <v>778044</v>
      </c>
      <c r="F922" s="8">
        <v>58884</v>
      </c>
      <c r="G922" s="8">
        <v>5953</v>
      </c>
      <c r="H922" s="11">
        <f t="shared" si="141"/>
        <v>29442</v>
      </c>
      <c r="I922" s="11">
        <f t="shared" si="142"/>
        <v>11776.800000000001</v>
      </c>
      <c r="J922" s="11">
        <f t="shared" si="143"/>
        <v>17665.199999999997</v>
      </c>
      <c r="K922" s="11">
        <f t="shared" si="144"/>
        <v>3533.04</v>
      </c>
      <c r="L922" s="8">
        <v>200</v>
      </c>
      <c r="M922" s="8">
        <f t="shared" si="145"/>
        <v>208</v>
      </c>
      <c r="N922" s="11">
        <v>1</v>
      </c>
      <c r="O922" s="11">
        <f t="shared" si="146"/>
        <v>141.54807692307693</v>
      </c>
      <c r="P922" s="11">
        <f t="shared" si="147"/>
        <v>283.09615384615387</v>
      </c>
      <c r="Q922" s="11">
        <f t="shared" si="148"/>
        <v>283.09615384615387</v>
      </c>
      <c r="R922" s="8">
        <v>61104</v>
      </c>
      <c r="S922" s="11">
        <f t="shared" si="149"/>
        <v>67057</v>
      </c>
      <c r="T922" s="20">
        <f>S922/median_percentile!$B$1</f>
        <v>1.3305356310207646</v>
      </c>
      <c r="U922" s="24" t="str" cm="1">
        <f t="array" ref="U922">_xlfn.IFS(T922&lt;1,"underpaid",T922&gt;1,"overpaid",T922=1,"median pay")</f>
        <v>overpaid</v>
      </c>
      <c r="V922" s="5"/>
    </row>
    <row r="923" spans="1:22" x14ac:dyDescent="0.3">
      <c r="A923" s="22" t="s">
        <v>934</v>
      </c>
      <c r="B923" s="12" t="s">
        <v>1933</v>
      </c>
      <c r="C923" s="12" t="s">
        <v>2011</v>
      </c>
      <c r="D923" s="13">
        <v>44304</v>
      </c>
      <c r="E923" s="14">
        <f t="shared" si="140"/>
        <v>411132</v>
      </c>
      <c r="F923" s="12">
        <v>30282</v>
      </c>
      <c r="G923" s="12">
        <v>3979</v>
      </c>
      <c r="H923" s="15">
        <f t="shared" si="141"/>
        <v>15141</v>
      </c>
      <c r="I923" s="15">
        <f t="shared" si="142"/>
        <v>6056.4000000000005</v>
      </c>
      <c r="J923" s="15">
        <f t="shared" si="143"/>
        <v>9084.5999999999985</v>
      </c>
      <c r="K923" s="15">
        <f t="shared" si="144"/>
        <v>1816.9199999999998</v>
      </c>
      <c r="L923" s="12">
        <v>200</v>
      </c>
      <c r="M923" s="12">
        <f t="shared" si="145"/>
        <v>208</v>
      </c>
      <c r="N923" s="15">
        <v>2</v>
      </c>
      <c r="O923" s="15">
        <f t="shared" si="146"/>
        <v>72.793269230769226</v>
      </c>
      <c r="P923" s="15">
        <f t="shared" si="147"/>
        <v>145.58653846153845</v>
      </c>
      <c r="Q923" s="15">
        <f t="shared" si="148"/>
        <v>291.17307692307691</v>
      </c>
      <c r="R923" s="12">
        <v>32245</v>
      </c>
      <c r="S923" s="15">
        <f t="shared" si="149"/>
        <v>36224</v>
      </c>
      <c r="T923" s="20">
        <f>S923/median_percentile!$B$1</f>
        <v>0.71875155014534164</v>
      </c>
      <c r="U923" s="24" t="str" cm="1">
        <f t="array" ref="U923">_xlfn.IFS(T923&lt;1,"underpaid",T923&gt;1,"overpaid",T923=1,"median pay")</f>
        <v>underpaid</v>
      </c>
      <c r="V923" s="5"/>
    </row>
    <row r="924" spans="1:22" x14ac:dyDescent="0.3">
      <c r="A924" s="21" t="s">
        <v>935</v>
      </c>
      <c r="B924" s="8" t="s">
        <v>1934</v>
      </c>
      <c r="C924" s="8" t="s">
        <v>2015</v>
      </c>
      <c r="D924" s="9">
        <v>44219</v>
      </c>
      <c r="E924" s="10">
        <f t="shared" si="140"/>
        <v>597492</v>
      </c>
      <c r="F924" s="8">
        <v>44272</v>
      </c>
      <c r="G924" s="8">
        <v>5519</v>
      </c>
      <c r="H924" s="11">
        <f t="shared" si="141"/>
        <v>22136</v>
      </c>
      <c r="I924" s="11">
        <f t="shared" si="142"/>
        <v>8854.4</v>
      </c>
      <c r="J924" s="11">
        <f t="shared" si="143"/>
        <v>13281.599999999999</v>
      </c>
      <c r="K924" s="11">
        <f t="shared" si="144"/>
        <v>2656.3199999999997</v>
      </c>
      <c r="L924" s="8">
        <v>200</v>
      </c>
      <c r="M924" s="8">
        <f t="shared" si="145"/>
        <v>208</v>
      </c>
      <c r="N924" s="11">
        <v>0</v>
      </c>
      <c r="O924" s="11">
        <f t="shared" si="146"/>
        <v>106.42307692307692</v>
      </c>
      <c r="P924" s="11">
        <f t="shared" si="147"/>
        <v>212.84615384615384</v>
      </c>
      <c r="Q924" s="11">
        <f t="shared" si="148"/>
        <v>0</v>
      </c>
      <c r="R924" s="8">
        <v>46935</v>
      </c>
      <c r="S924" s="11">
        <f t="shared" si="149"/>
        <v>52454</v>
      </c>
      <c r="T924" s="20">
        <f>S924/median_percentile!$B$1</f>
        <v>1.040784943996349</v>
      </c>
      <c r="U924" s="24" t="str" cm="1">
        <f t="array" ref="U924">_xlfn.IFS(T924&lt;1,"underpaid",T924&gt;1,"overpaid",T924=1,"median pay")</f>
        <v>overpaid</v>
      </c>
      <c r="V924" s="5"/>
    </row>
    <row r="925" spans="1:22" x14ac:dyDescent="0.3">
      <c r="A925" s="22" t="s">
        <v>936</v>
      </c>
      <c r="B925" s="12" t="s">
        <v>1935</v>
      </c>
      <c r="C925" s="12" t="s">
        <v>2016</v>
      </c>
      <c r="D925" s="13">
        <v>44689</v>
      </c>
      <c r="E925" s="14">
        <f t="shared" si="140"/>
        <v>437940</v>
      </c>
      <c r="F925" s="12">
        <v>32407</v>
      </c>
      <c r="G925" s="12">
        <v>4088</v>
      </c>
      <c r="H925" s="15">
        <f t="shared" si="141"/>
        <v>16203.5</v>
      </c>
      <c r="I925" s="15">
        <f t="shared" si="142"/>
        <v>6481.4000000000005</v>
      </c>
      <c r="J925" s="15">
        <f t="shared" si="143"/>
        <v>9722.0999999999985</v>
      </c>
      <c r="K925" s="15">
        <f t="shared" si="144"/>
        <v>1944.4199999999998</v>
      </c>
      <c r="L925" s="12">
        <v>200</v>
      </c>
      <c r="M925" s="12">
        <f t="shared" si="145"/>
        <v>208</v>
      </c>
      <c r="N925" s="15">
        <v>1</v>
      </c>
      <c r="O925" s="15">
        <f t="shared" si="146"/>
        <v>77.901442307692307</v>
      </c>
      <c r="P925" s="15">
        <f t="shared" si="147"/>
        <v>155.80288461538461</v>
      </c>
      <c r="Q925" s="15">
        <f t="shared" si="148"/>
        <v>155.80288461538461</v>
      </c>
      <c r="R925" s="12">
        <v>34891</v>
      </c>
      <c r="S925" s="15">
        <f t="shared" si="149"/>
        <v>38979</v>
      </c>
      <c r="T925" s="20">
        <f>S925/median_percentile!$B$1</f>
        <v>0.77341587547248425</v>
      </c>
      <c r="U925" s="24" t="str" cm="1">
        <f t="array" ref="U925">_xlfn.IFS(T925&lt;1,"underpaid",T925&gt;1,"overpaid",T925=1,"median pay")</f>
        <v>underpaid</v>
      </c>
      <c r="V925" s="5"/>
    </row>
    <row r="926" spans="1:22" x14ac:dyDescent="0.3">
      <c r="A926" s="21" t="s">
        <v>937</v>
      </c>
      <c r="B926" s="8" t="s">
        <v>1936</v>
      </c>
      <c r="C926" s="8" t="s">
        <v>2014</v>
      </c>
      <c r="D926" s="9">
        <v>45800</v>
      </c>
      <c r="E926" s="10">
        <f t="shared" si="140"/>
        <v>976548</v>
      </c>
      <c r="F926" s="8">
        <v>68604</v>
      </c>
      <c r="G926" s="8">
        <v>12775</v>
      </c>
      <c r="H926" s="11">
        <f t="shared" si="141"/>
        <v>34302</v>
      </c>
      <c r="I926" s="11">
        <f t="shared" si="142"/>
        <v>13720.800000000001</v>
      </c>
      <c r="J926" s="11">
        <f t="shared" si="143"/>
        <v>20581.199999999997</v>
      </c>
      <c r="K926" s="11">
        <f t="shared" si="144"/>
        <v>4116.24</v>
      </c>
      <c r="L926" s="8">
        <v>200</v>
      </c>
      <c r="M926" s="8">
        <f t="shared" si="145"/>
        <v>208</v>
      </c>
      <c r="N926" s="11">
        <v>0</v>
      </c>
      <c r="O926" s="11">
        <f t="shared" si="146"/>
        <v>164.91346153846155</v>
      </c>
      <c r="P926" s="11">
        <f t="shared" si="147"/>
        <v>329.82692307692309</v>
      </c>
      <c r="Q926" s="11">
        <f t="shared" si="148"/>
        <v>0</v>
      </c>
      <c r="R926" s="8">
        <v>77063</v>
      </c>
      <c r="S926" s="11">
        <f t="shared" si="149"/>
        <v>89838</v>
      </c>
      <c r="T926" s="20">
        <f>S926/median_percentile!$B$1</f>
        <v>1.7825530521741719</v>
      </c>
      <c r="U926" s="24" t="str" cm="1">
        <f t="array" ref="U926">_xlfn.IFS(T926&lt;1,"underpaid",T926&gt;1,"overpaid",T926=1,"median pay")</f>
        <v>overpaid</v>
      </c>
      <c r="V926" s="5"/>
    </row>
    <row r="927" spans="1:22" x14ac:dyDescent="0.3">
      <c r="A927" s="22" t="s">
        <v>938</v>
      </c>
      <c r="B927" s="12" t="s">
        <v>1937</v>
      </c>
      <c r="C927" s="12" t="s">
        <v>2011</v>
      </c>
      <c r="D927" s="13">
        <v>45165</v>
      </c>
      <c r="E927" s="14">
        <f t="shared" si="140"/>
        <v>331080</v>
      </c>
      <c r="F927" s="12">
        <v>25007</v>
      </c>
      <c r="G927" s="12">
        <v>2583</v>
      </c>
      <c r="H927" s="15">
        <f t="shared" si="141"/>
        <v>12503.5</v>
      </c>
      <c r="I927" s="15">
        <f t="shared" si="142"/>
        <v>5001.4000000000005</v>
      </c>
      <c r="J927" s="15">
        <f t="shared" si="143"/>
        <v>7502.0999999999985</v>
      </c>
      <c r="K927" s="15">
        <f t="shared" si="144"/>
        <v>1500.4199999999998</v>
      </c>
      <c r="L927" s="12">
        <v>200</v>
      </c>
      <c r="M927" s="12">
        <f t="shared" si="145"/>
        <v>208</v>
      </c>
      <c r="N927" s="15">
        <v>3</v>
      </c>
      <c r="O927" s="15">
        <f t="shared" si="146"/>
        <v>60.112980769230766</v>
      </c>
      <c r="P927" s="15">
        <f t="shared" si="147"/>
        <v>120.22596153846153</v>
      </c>
      <c r="Q927" s="15">
        <f t="shared" si="148"/>
        <v>360.67788461538458</v>
      </c>
      <c r="R927" s="12">
        <v>26098</v>
      </c>
      <c r="S927" s="15">
        <f t="shared" si="149"/>
        <v>28681</v>
      </c>
      <c r="T927" s="20">
        <f>S927/median_percentile!$B$1</f>
        <v>0.56908439735309579</v>
      </c>
      <c r="U927" s="24" t="str" cm="1">
        <f t="array" ref="U927">_xlfn.IFS(T927&lt;1,"underpaid",T927&gt;1,"overpaid",T927=1,"median pay")</f>
        <v>underpaid</v>
      </c>
      <c r="V927" s="5"/>
    </row>
    <row r="928" spans="1:22" x14ac:dyDescent="0.3">
      <c r="A928" s="21" t="s">
        <v>939</v>
      </c>
      <c r="B928" s="8" t="s">
        <v>1938</v>
      </c>
      <c r="C928" s="8" t="s">
        <v>2015</v>
      </c>
      <c r="D928" s="9">
        <v>44148</v>
      </c>
      <c r="E928" s="10">
        <f t="shared" si="140"/>
        <v>647016</v>
      </c>
      <c r="F928" s="8">
        <v>46188</v>
      </c>
      <c r="G928" s="8">
        <v>7730</v>
      </c>
      <c r="H928" s="11">
        <f t="shared" si="141"/>
        <v>23094</v>
      </c>
      <c r="I928" s="11">
        <f t="shared" si="142"/>
        <v>9237.6</v>
      </c>
      <c r="J928" s="11">
        <f t="shared" si="143"/>
        <v>13856.400000000001</v>
      </c>
      <c r="K928" s="11">
        <f t="shared" si="144"/>
        <v>2771.2799999999997</v>
      </c>
      <c r="L928" s="8">
        <v>200</v>
      </c>
      <c r="M928" s="8">
        <f t="shared" si="145"/>
        <v>208</v>
      </c>
      <c r="N928" s="11">
        <v>2</v>
      </c>
      <c r="O928" s="11">
        <f t="shared" si="146"/>
        <v>111.02884615384616</v>
      </c>
      <c r="P928" s="11">
        <f t="shared" si="147"/>
        <v>222.05769230769232</v>
      </c>
      <c r="Q928" s="11">
        <f t="shared" si="148"/>
        <v>444.11538461538464</v>
      </c>
      <c r="R928" s="8">
        <v>51716</v>
      </c>
      <c r="S928" s="11">
        <f t="shared" si="149"/>
        <v>59446</v>
      </c>
      <c r="T928" s="20">
        <f>S928/median_percentile!$B$1</f>
        <v>1.1795192317231664</v>
      </c>
      <c r="U928" s="24" t="str" cm="1">
        <f t="array" ref="U928">_xlfn.IFS(T928&lt;1,"underpaid",T928&gt;1,"overpaid",T928=1,"median pay")</f>
        <v>overpaid</v>
      </c>
      <c r="V928" s="5"/>
    </row>
    <row r="929" spans="1:22" x14ac:dyDescent="0.3">
      <c r="A929" s="22" t="s">
        <v>940</v>
      </c>
      <c r="B929" s="12" t="s">
        <v>1939</v>
      </c>
      <c r="C929" s="12" t="s">
        <v>2016</v>
      </c>
      <c r="D929" s="13">
        <v>44638</v>
      </c>
      <c r="E929" s="14">
        <f t="shared" si="140"/>
        <v>594780</v>
      </c>
      <c r="F929" s="12">
        <v>41588</v>
      </c>
      <c r="G929" s="12">
        <v>7977</v>
      </c>
      <c r="H929" s="15">
        <f t="shared" si="141"/>
        <v>20794</v>
      </c>
      <c r="I929" s="15">
        <f t="shared" si="142"/>
        <v>8317.6</v>
      </c>
      <c r="J929" s="15">
        <f t="shared" si="143"/>
        <v>12476.400000000001</v>
      </c>
      <c r="K929" s="15">
        <f t="shared" si="144"/>
        <v>2495.2799999999997</v>
      </c>
      <c r="L929" s="12">
        <v>200</v>
      </c>
      <c r="M929" s="12">
        <f t="shared" si="145"/>
        <v>208</v>
      </c>
      <c r="N929" s="15">
        <v>3</v>
      </c>
      <c r="O929" s="15">
        <f t="shared" si="146"/>
        <v>99.97115384615384</v>
      </c>
      <c r="P929" s="15">
        <f t="shared" si="147"/>
        <v>199.94230769230768</v>
      </c>
      <c r="Q929" s="15">
        <f t="shared" si="148"/>
        <v>599.82692307692309</v>
      </c>
      <c r="R929" s="12">
        <v>47563</v>
      </c>
      <c r="S929" s="15">
        <f t="shared" si="149"/>
        <v>55540</v>
      </c>
      <c r="T929" s="20">
        <f>S929/median_percentile!$B$1</f>
        <v>1.1020169251068981</v>
      </c>
      <c r="U929" s="24" t="str" cm="1">
        <f t="array" ref="U929">_xlfn.IFS(T929&lt;1,"underpaid",T929&gt;1,"overpaid",T929=1,"median pay")</f>
        <v>overpaid</v>
      </c>
      <c r="V929" s="5"/>
    </row>
    <row r="930" spans="1:22" x14ac:dyDescent="0.3">
      <c r="A930" s="21" t="s">
        <v>941</v>
      </c>
      <c r="B930" s="8" t="s">
        <v>1940</v>
      </c>
      <c r="C930" s="8" t="s">
        <v>2015</v>
      </c>
      <c r="D930" s="9">
        <v>44159</v>
      </c>
      <c r="E930" s="10">
        <f t="shared" si="140"/>
        <v>700548</v>
      </c>
      <c r="F930" s="8">
        <v>48963</v>
      </c>
      <c r="G930" s="8">
        <v>9416</v>
      </c>
      <c r="H930" s="11">
        <f t="shared" si="141"/>
        <v>24481.5</v>
      </c>
      <c r="I930" s="11">
        <f t="shared" si="142"/>
        <v>9792.6</v>
      </c>
      <c r="J930" s="11">
        <f t="shared" si="143"/>
        <v>14688.900000000001</v>
      </c>
      <c r="K930" s="11">
        <f t="shared" si="144"/>
        <v>2937.7799999999997</v>
      </c>
      <c r="L930" s="8">
        <v>200</v>
      </c>
      <c r="M930" s="8">
        <f t="shared" si="145"/>
        <v>208</v>
      </c>
      <c r="N930" s="11">
        <v>1</v>
      </c>
      <c r="O930" s="11">
        <f t="shared" si="146"/>
        <v>117.69951923076923</v>
      </c>
      <c r="P930" s="11">
        <f t="shared" si="147"/>
        <v>235.39903846153845</v>
      </c>
      <c r="Q930" s="11">
        <f t="shared" si="148"/>
        <v>235.39903846153845</v>
      </c>
      <c r="R930" s="8">
        <v>55242</v>
      </c>
      <c r="S930" s="11">
        <f t="shared" si="149"/>
        <v>64658</v>
      </c>
      <c r="T930" s="20">
        <f>S930/median_percentile!$B$1</f>
        <v>1.2829350079863489</v>
      </c>
      <c r="U930" s="24" t="str" cm="1">
        <f t="array" ref="U930">_xlfn.IFS(T930&lt;1,"underpaid",T930&gt;1,"overpaid",T930=1,"median pay")</f>
        <v>overpaid</v>
      </c>
      <c r="V930" s="5"/>
    </row>
    <row r="931" spans="1:22" x14ac:dyDescent="0.3">
      <c r="A931" s="22" t="s">
        <v>942</v>
      </c>
      <c r="B931" s="12" t="s">
        <v>1941</v>
      </c>
      <c r="C931" s="12" t="s">
        <v>2013</v>
      </c>
      <c r="D931" s="13">
        <v>44802</v>
      </c>
      <c r="E931" s="14">
        <f t="shared" si="140"/>
        <v>454908</v>
      </c>
      <c r="F931" s="12">
        <v>32047</v>
      </c>
      <c r="G931" s="12">
        <v>5862</v>
      </c>
      <c r="H931" s="15">
        <f t="shared" si="141"/>
        <v>16023.5</v>
      </c>
      <c r="I931" s="15">
        <f t="shared" si="142"/>
        <v>6409.4000000000005</v>
      </c>
      <c r="J931" s="15">
        <f t="shared" si="143"/>
        <v>9614.0999999999985</v>
      </c>
      <c r="K931" s="15">
        <f t="shared" si="144"/>
        <v>1922.82</v>
      </c>
      <c r="L931" s="12">
        <v>200</v>
      </c>
      <c r="M931" s="12">
        <f t="shared" si="145"/>
        <v>208</v>
      </c>
      <c r="N931" s="15">
        <v>1</v>
      </c>
      <c r="O931" s="15">
        <f t="shared" si="146"/>
        <v>77.036057692307693</v>
      </c>
      <c r="P931" s="15">
        <f t="shared" si="147"/>
        <v>154.07211538461539</v>
      </c>
      <c r="Q931" s="15">
        <f t="shared" si="148"/>
        <v>154.07211538461539</v>
      </c>
      <c r="R931" s="12">
        <v>35787</v>
      </c>
      <c r="S931" s="15">
        <f t="shared" si="149"/>
        <v>41649</v>
      </c>
      <c r="T931" s="20">
        <f>S931/median_percentile!$B$1</f>
        <v>0.82639364266793658</v>
      </c>
      <c r="U931" s="24" t="str" cm="1">
        <f t="array" ref="U931">_xlfn.IFS(T931&lt;1,"underpaid",T931&gt;1,"overpaid",T931=1,"median pay")</f>
        <v>underpaid</v>
      </c>
      <c r="V931" s="5"/>
    </row>
    <row r="932" spans="1:22" x14ac:dyDescent="0.3">
      <c r="A932" s="21" t="s">
        <v>943</v>
      </c>
      <c r="B932" s="8" t="s">
        <v>1942</v>
      </c>
      <c r="C932" s="8" t="s">
        <v>2016</v>
      </c>
      <c r="D932" s="9">
        <v>43564</v>
      </c>
      <c r="E932" s="10">
        <f t="shared" si="140"/>
        <v>483756</v>
      </c>
      <c r="F932" s="8">
        <v>34290</v>
      </c>
      <c r="G932" s="8">
        <v>6023</v>
      </c>
      <c r="H932" s="11">
        <f t="shared" si="141"/>
        <v>17145</v>
      </c>
      <c r="I932" s="11">
        <f t="shared" si="142"/>
        <v>6858</v>
      </c>
      <c r="J932" s="11">
        <f t="shared" si="143"/>
        <v>10287</v>
      </c>
      <c r="K932" s="11">
        <f t="shared" si="144"/>
        <v>2057.4</v>
      </c>
      <c r="L932" s="8">
        <v>200</v>
      </c>
      <c r="M932" s="8">
        <f t="shared" si="145"/>
        <v>208</v>
      </c>
      <c r="N932" s="11">
        <v>4</v>
      </c>
      <c r="O932" s="11">
        <f t="shared" si="146"/>
        <v>82.427884615384613</v>
      </c>
      <c r="P932" s="11">
        <f t="shared" si="147"/>
        <v>164.85576923076923</v>
      </c>
      <c r="Q932" s="11">
        <f t="shared" si="148"/>
        <v>659.42307692307691</v>
      </c>
      <c r="R932" s="8">
        <v>38056</v>
      </c>
      <c r="S932" s="11">
        <f t="shared" si="149"/>
        <v>44079</v>
      </c>
      <c r="T932" s="20">
        <f>S932/median_percentile!$B$1</f>
        <v>0.87460936337390993</v>
      </c>
      <c r="U932" s="24" t="str" cm="1">
        <f t="array" ref="U932">_xlfn.IFS(T932&lt;1,"underpaid",T932&gt;1,"overpaid",T932=1,"median pay")</f>
        <v>underpaid</v>
      </c>
      <c r="V932" s="5"/>
    </row>
    <row r="933" spans="1:22" x14ac:dyDescent="0.3">
      <c r="A933" s="22" t="s">
        <v>944</v>
      </c>
      <c r="B933" s="12" t="s">
        <v>1943</v>
      </c>
      <c r="C933" s="12" t="s">
        <v>2015</v>
      </c>
      <c r="D933" s="13">
        <v>44340</v>
      </c>
      <c r="E933" s="14">
        <f t="shared" si="140"/>
        <v>588300</v>
      </c>
      <c r="F933" s="12">
        <v>41036</v>
      </c>
      <c r="G933" s="12">
        <v>7989</v>
      </c>
      <c r="H933" s="15">
        <f t="shared" si="141"/>
        <v>20518</v>
      </c>
      <c r="I933" s="15">
        <f t="shared" si="142"/>
        <v>8207.2000000000007</v>
      </c>
      <c r="J933" s="15">
        <f t="shared" si="143"/>
        <v>12310.8</v>
      </c>
      <c r="K933" s="15">
        <f t="shared" si="144"/>
        <v>2462.16</v>
      </c>
      <c r="L933" s="12">
        <v>200</v>
      </c>
      <c r="M933" s="12">
        <f t="shared" si="145"/>
        <v>208</v>
      </c>
      <c r="N933" s="15">
        <v>2</v>
      </c>
      <c r="O933" s="15">
        <f t="shared" si="146"/>
        <v>98.644230769230774</v>
      </c>
      <c r="P933" s="15">
        <f t="shared" si="147"/>
        <v>197.28846153846155</v>
      </c>
      <c r="Q933" s="15">
        <f t="shared" si="148"/>
        <v>394.57692307692309</v>
      </c>
      <c r="R933" s="12">
        <v>47046</v>
      </c>
      <c r="S933" s="15">
        <f t="shared" si="149"/>
        <v>55035</v>
      </c>
      <c r="T933" s="20">
        <f>S933/median_percentile!$B$1</f>
        <v>1.0919967856186197</v>
      </c>
      <c r="U933" s="24" t="str" cm="1">
        <f t="array" ref="U933">_xlfn.IFS(T933&lt;1,"underpaid",T933&gt;1,"overpaid",T933=1,"median pay")</f>
        <v>overpaid</v>
      </c>
      <c r="V933" s="5"/>
    </row>
    <row r="934" spans="1:22" x14ac:dyDescent="0.3">
      <c r="A934" s="21" t="s">
        <v>945</v>
      </c>
      <c r="B934" s="8" t="s">
        <v>1944</v>
      </c>
      <c r="C934" s="8" t="s">
        <v>2012</v>
      </c>
      <c r="D934" s="9">
        <v>44786</v>
      </c>
      <c r="E934" s="10">
        <f t="shared" si="140"/>
        <v>615096</v>
      </c>
      <c r="F934" s="8">
        <v>43224</v>
      </c>
      <c r="G934" s="8">
        <v>8034</v>
      </c>
      <c r="H934" s="11">
        <f t="shared" si="141"/>
        <v>21612</v>
      </c>
      <c r="I934" s="11">
        <f t="shared" si="142"/>
        <v>8644.8000000000011</v>
      </c>
      <c r="J934" s="11">
        <f t="shared" si="143"/>
        <v>12967.199999999997</v>
      </c>
      <c r="K934" s="11">
        <f t="shared" si="144"/>
        <v>2593.44</v>
      </c>
      <c r="L934" s="8">
        <v>200</v>
      </c>
      <c r="M934" s="8">
        <f t="shared" si="145"/>
        <v>208</v>
      </c>
      <c r="N934" s="11">
        <v>3</v>
      </c>
      <c r="O934" s="11">
        <f t="shared" si="146"/>
        <v>103.90384615384616</v>
      </c>
      <c r="P934" s="11">
        <f t="shared" si="147"/>
        <v>207.80769230769232</v>
      </c>
      <c r="Q934" s="11">
        <f t="shared" si="148"/>
        <v>623.42307692307691</v>
      </c>
      <c r="R934" s="8">
        <v>49185</v>
      </c>
      <c r="S934" s="11">
        <f t="shared" si="149"/>
        <v>57219</v>
      </c>
      <c r="T934" s="20">
        <f>S934/median_percentile!$B$1</f>
        <v>1.1353314086728772</v>
      </c>
      <c r="U934" s="24" t="str" cm="1">
        <f t="array" ref="U934">_xlfn.IFS(T934&lt;1,"underpaid",T934&gt;1,"overpaid",T934=1,"median pay")</f>
        <v>overpaid</v>
      </c>
      <c r="V934" s="5"/>
    </row>
    <row r="935" spans="1:22" x14ac:dyDescent="0.3">
      <c r="A935" s="22" t="s">
        <v>946</v>
      </c>
      <c r="B935" s="12" t="s">
        <v>1945</v>
      </c>
      <c r="C935" s="12" t="s">
        <v>2015</v>
      </c>
      <c r="D935" s="13">
        <v>43487</v>
      </c>
      <c r="E935" s="14">
        <f t="shared" si="140"/>
        <v>377448</v>
      </c>
      <c r="F935" s="12">
        <v>26332</v>
      </c>
      <c r="G935" s="12">
        <v>5122</v>
      </c>
      <c r="H935" s="15">
        <f t="shared" si="141"/>
        <v>13166</v>
      </c>
      <c r="I935" s="15">
        <f t="shared" si="142"/>
        <v>5266.4000000000005</v>
      </c>
      <c r="J935" s="15">
        <f t="shared" si="143"/>
        <v>7899.5999999999985</v>
      </c>
      <c r="K935" s="15">
        <f t="shared" si="144"/>
        <v>1579.9199999999998</v>
      </c>
      <c r="L935" s="12">
        <v>200</v>
      </c>
      <c r="M935" s="12">
        <f t="shared" si="145"/>
        <v>208</v>
      </c>
      <c r="N935" s="15">
        <v>3</v>
      </c>
      <c r="O935" s="15">
        <f t="shared" si="146"/>
        <v>63.29807692307692</v>
      </c>
      <c r="P935" s="15">
        <f t="shared" si="147"/>
        <v>126.59615384615384</v>
      </c>
      <c r="Q935" s="15">
        <f t="shared" si="148"/>
        <v>379.78846153846155</v>
      </c>
      <c r="R935" s="12">
        <v>29675</v>
      </c>
      <c r="S935" s="15">
        <f t="shared" si="149"/>
        <v>34797</v>
      </c>
      <c r="T935" s="20">
        <f>S935/median_percentile!$B$1</f>
        <v>0.69043721539331526</v>
      </c>
      <c r="U935" s="24" t="str" cm="1">
        <f t="array" ref="U935">_xlfn.IFS(T935&lt;1,"underpaid",T935&gt;1,"overpaid",T935=1,"median pay")</f>
        <v>underpaid</v>
      </c>
      <c r="V935" s="5"/>
    </row>
    <row r="936" spans="1:22" x14ac:dyDescent="0.3">
      <c r="A936" s="21" t="s">
        <v>947</v>
      </c>
      <c r="B936" s="8" t="s">
        <v>1946</v>
      </c>
      <c r="C936" s="8" t="s">
        <v>2013</v>
      </c>
      <c r="D936" s="9">
        <v>45350</v>
      </c>
      <c r="E936" s="10">
        <f t="shared" si="140"/>
        <v>469944</v>
      </c>
      <c r="F936" s="8">
        <v>33100</v>
      </c>
      <c r="G936" s="8">
        <v>6062</v>
      </c>
      <c r="H936" s="11">
        <f t="shared" si="141"/>
        <v>16550</v>
      </c>
      <c r="I936" s="11">
        <f t="shared" si="142"/>
        <v>6620</v>
      </c>
      <c r="J936" s="11">
        <f t="shared" si="143"/>
        <v>9930</v>
      </c>
      <c r="K936" s="11">
        <f t="shared" si="144"/>
        <v>1986</v>
      </c>
      <c r="L936" s="8">
        <v>200</v>
      </c>
      <c r="M936" s="8">
        <f t="shared" si="145"/>
        <v>208</v>
      </c>
      <c r="N936" s="11">
        <v>0</v>
      </c>
      <c r="O936" s="11">
        <f t="shared" si="146"/>
        <v>79.567307692307693</v>
      </c>
      <c r="P936" s="11">
        <f t="shared" si="147"/>
        <v>159.13461538461539</v>
      </c>
      <c r="Q936" s="11">
        <f t="shared" si="148"/>
        <v>0</v>
      </c>
      <c r="R936" s="8">
        <v>37251</v>
      </c>
      <c r="S936" s="11">
        <f t="shared" si="149"/>
        <v>43313</v>
      </c>
      <c r="T936" s="20">
        <f>S936/median_percentile!$B$1</f>
        <v>0.85941049832832328</v>
      </c>
      <c r="U936" s="24" t="str" cm="1">
        <f t="array" ref="U936">_xlfn.IFS(T936&lt;1,"underpaid",T936&gt;1,"overpaid",T936=1,"median pay")</f>
        <v>underpaid</v>
      </c>
      <c r="V936" s="5"/>
    </row>
    <row r="937" spans="1:22" x14ac:dyDescent="0.3">
      <c r="A937" s="22" t="s">
        <v>948</v>
      </c>
      <c r="B937" s="12" t="s">
        <v>1947</v>
      </c>
      <c r="C937" s="12" t="s">
        <v>2011</v>
      </c>
      <c r="D937" s="13">
        <v>43990</v>
      </c>
      <c r="E937" s="14">
        <f t="shared" si="140"/>
        <v>327000</v>
      </c>
      <c r="F937" s="12">
        <v>22745</v>
      </c>
      <c r="G937" s="12">
        <v>4505</v>
      </c>
      <c r="H937" s="15">
        <f t="shared" si="141"/>
        <v>11372.5</v>
      </c>
      <c r="I937" s="15">
        <f t="shared" si="142"/>
        <v>4549</v>
      </c>
      <c r="J937" s="15">
        <f t="shared" si="143"/>
        <v>6823.5</v>
      </c>
      <c r="K937" s="15">
        <f t="shared" si="144"/>
        <v>1364.7</v>
      </c>
      <c r="L937" s="12">
        <v>200</v>
      </c>
      <c r="M937" s="12">
        <f t="shared" si="145"/>
        <v>208</v>
      </c>
      <c r="N937" s="15">
        <v>0</v>
      </c>
      <c r="O937" s="15">
        <f t="shared" si="146"/>
        <v>54.675480769230766</v>
      </c>
      <c r="P937" s="15">
        <f t="shared" si="147"/>
        <v>109.35096153846153</v>
      </c>
      <c r="Q937" s="15">
        <f t="shared" si="148"/>
        <v>0</v>
      </c>
      <c r="R937" s="12">
        <v>25875</v>
      </c>
      <c r="S937" s="15">
        <f t="shared" si="149"/>
        <v>30380</v>
      </c>
      <c r="T937" s="20">
        <f>S937/median_percentile!$B$1</f>
        <v>0.60279571812653154</v>
      </c>
      <c r="U937" s="24" t="str" cm="1">
        <f t="array" ref="U937">_xlfn.IFS(T937&lt;1,"underpaid",T937&gt;1,"overpaid",T937=1,"median pay")</f>
        <v>underpaid</v>
      </c>
      <c r="V937" s="5"/>
    </row>
    <row r="938" spans="1:22" x14ac:dyDescent="0.3">
      <c r="A938" s="21" t="s">
        <v>949</v>
      </c>
      <c r="B938" s="8" t="s">
        <v>1948</v>
      </c>
      <c r="C938" s="8" t="s">
        <v>2012</v>
      </c>
      <c r="D938" s="9">
        <v>43477</v>
      </c>
      <c r="E938" s="10">
        <f t="shared" si="140"/>
        <v>655968</v>
      </c>
      <c r="F938" s="8">
        <v>45874</v>
      </c>
      <c r="G938" s="8">
        <v>8790</v>
      </c>
      <c r="H938" s="11">
        <f t="shared" si="141"/>
        <v>22937</v>
      </c>
      <c r="I938" s="11">
        <f t="shared" si="142"/>
        <v>9174.8000000000011</v>
      </c>
      <c r="J938" s="11">
        <f t="shared" si="143"/>
        <v>13762.199999999997</v>
      </c>
      <c r="K938" s="11">
        <f t="shared" si="144"/>
        <v>2752.44</v>
      </c>
      <c r="L938" s="8">
        <v>200</v>
      </c>
      <c r="M938" s="8">
        <f t="shared" si="145"/>
        <v>208</v>
      </c>
      <c r="N938" s="11">
        <v>0</v>
      </c>
      <c r="O938" s="11">
        <f t="shared" si="146"/>
        <v>110.27403846153847</v>
      </c>
      <c r="P938" s="11">
        <f t="shared" si="147"/>
        <v>220.54807692307693</v>
      </c>
      <c r="Q938" s="11">
        <f t="shared" si="148"/>
        <v>0</v>
      </c>
      <c r="R938" s="8">
        <v>52094</v>
      </c>
      <c r="S938" s="11">
        <f t="shared" si="149"/>
        <v>60884</v>
      </c>
      <c r="T938" s="20">
        <f>S938/median_percentile!$B$1</f>
        <v>1.2080518269392939</v>
      </c>
      <c r="U938" s="24" t="str" cm="1">
        <f t="array" ref="U938">_xlfn.IFS(T938&lt;1,"underpaid",T938&gt;1,"overpaid",T938=1,"median pay")</f>
        <v>overpaid</v>
      </c>
      <c r="V938" s="5"/>
    </row>
    <row r="939" spans="1:22" x14ac:dyDescent="0.3">
      <c r="A939" s="22" t="s">
        <v>950</v>
      </c>
      <c r="B939" s="12" t="s">
        <v>1949</v>
      </c>
      <c r="C939" s="12" t="s">
        <v>2014</v>
      </c>
      <c r="D939" s="13">
        <v>45986</v>
      </c>
      <c r="E939" s="14">
        <f t="shared" si="140"/>
        <v>841320</v>
      </c>
      <c r="F939" s="12">
        <v>60254</v>
      </c>
      <c r="G939" s="12">
        <v>9856</v>
      </c>
      <c r="H939" s="15">
        <f t="shared" si="141"/>
        <v>30127</v>
      </c>
      <c r="I939" s="15">
        <f t="shared" si="142"/>
        <v>12050.800000000001</v>
      </c>
      <c r="J939" s="15">
        <f t="shared" si="143"/>
        <v>18076.199999999997</v>
      </c>
      <c r="K939" s="15">
        <f t="shared" si="144"/>
        <v>3615.24</v>
      </c>
      <c r="L939" s="12">
        <v>200</v>
      </c>
      <c r="M939" s="12">
        <f t="shared" si="145"/>
        <v>208</v>
      </c>
      <c r="N939" s="15">
        <v>5</v>
      </c>
      <c r="O939" s="15">
        <f t="shared" si="146"/>
        <v>144.84134615384616</v>
      </c>
      <c r="P939" s="15">
        <f t="shared" si="147"/>
        <v>289.68269230769232</v>
      </c>
      <c r="Q939" s="15">
        <f t="shared" si="148"/>
        <v>1448.4134615384617</v>
      </c>
      <c r="R939" s="12">
        <v>66295</v>
      </c>
      <c r="S939" s="15">
        <f t="shared" si="149"/>
        <v>76151</v>
      </c>
      <c r="T939" s="20">
        <f>S939/median_percentile!$B$1</f>
        <v>1.5109775092512674</v>
      </c>
      <c r="U939" s="24" t="str" cm="1">
        <f t="array" ref="U939">_xlfn.IFS(T939&lt;1,"underpaid",T939&gt;1,"overpaid",T939=1,"median pay")</f>
        <v>overpaid</v>
      </c>
      <c r="V939" s="5"/>
    </row>
    <row r="940" spans="1:22" x14ac:dyDescent="0.3">
      <c r="A940" s="21" t="s">
        <v>951</v>
      </c>
      <c r="B940" s="8" t="s">
        <v>1950</v>
      </c>
      <c r="C940" s="8" t="s">
        <v>2014</v>
      </c>
      <c r="D940" s="9">
        <v>44862</v>
      </c>
      <c r="E940" s="10">
        <f t="shared" si="140"/>
        <v>1000644</v>
      </c>
      <c r="F940" s="8">
        <v>71169</v>
      </c>
      <c r="G940" s="8">
        <v>12218</v>
      </c>
      <c r="H940" s="11">
        <f t="shared" si="141"/>
        <v>35584.5</v>
      </c>
      <c r="I940" s="11">
        <f t="shared" si="142"/>
        <v>14233.800000000001</v>
      </c>
      <c r="J940" s="11">
        <f t="shared" si="143"/>
        <v>21350.699999999997</v>
      </c>
      <c r="K940" s="11">
        <f t="shared" si="144"/>
        <v>4270.1399999999994</v>
      </c>
      <c r="L940" s="8">
        <v>200</v>
      </c>
      <c r="M940" s="8">
        <f t="shared" si="145"/>
        <v>208</v>
      </c>
      <c r="N940" s="11">
        <v>1</v>
      </c>
      <c r="O940" s="11">
        <f t="shared" si="146"/>
        <v>171.07932692307693</v>
      </c>
      <c r="P940" s="11">
        <f t="shared" si="147"/>
        <v>342.15865384615387</v>
      </c>
      <c r="Q940" s="11">
        <f t="shared" si="148"/>
        <v>342.15865384615387</v>
      </c>
      <c r="R940" s="8">
        <v>80103</v>
      </c>
      <c r="S940" s="11">
        <f t="shared" si="149"/>
        <v>92321</v>
      </c>
      <c r="T940" s="20">
        <f>S940/median_percentile!$B$1</f>
        <v>1.8318203914799052</v>
      </c>
      <c r="U940" s="24" t="str" cm="1">
        <f t="array" ref="U940">_xlfn.IFS(T940&lt;1,"underpaid",T940&gt;1,"overpaid",T940=1,"median pay")</f>
        <v>overpaid</v>
      </c>
      <c r="V940" s="5"/>
    </row>
    <row r="941" spans="1:22" x14ac:dyDescent="0.3">
      <c r="A941" s="22" t="s">
        <v>952</v>
      </c>
      <c r="B941" s="12" t="s">
        <v>1951</v>
      </c>
      <c r="C941" s="12" t="s">
        <v>2014</v>
      </c>
      <c r="D941" s="13">
        <v>44971</v>
      </c>
      <c r="E941" s="14">
        <f t="shared" si="140"/>
        <v>964512</v>
      </c>
      <c r="F941" s="12">
        <v>73069</v>
      </c>
      <c r="G941" s="12">
        <v>7307</v>
      </c>
      <c r="H941" s="15">
        <f t="shared" si="141"/>
        <v>36534.5</v>
      </c>
      <c r="I941" s="15">
        <f t="shared" si="142"/>
        <v>14613.800000000001</v>
      </c>
      <c r="J941" s="15">
        <f t="shared" si="143"/>
        <v>21920.699999999997</v>
      </c>
      <c r="K941" s="15">
        <f t="shared" si="144"/>
        <v>4384.1399999999994</v>
      </c>
      <c r="L941" s="12">
        <v>200</v>
      </c>
      <c r="M941" s="12">
        <f t="shared" si="145"/>
        <v>208</v>
      </c>
      <c r="N941" s="15">
        <v>4</v>
      </c>
      <c r="O941" s="15">
        <f t="shared" si="146"/>
        <v>175.64663461538461</v>
      </c>
      <c r="P941" s="15">
        <f t="shared" si="147"/>
        <v>351.29326923076923</v>
      </c>
      <c r="Q941" s="15">
        <f t="shared" si="148"/>
        <v>1405.1730769230769</v>
      </c>
      <c r="R941" s="12">
        <v>76400</v>
      </c>
      <c r="S941" s="15">
        <f t="shared" si="149"/>
        <v>83707</v>
      </c>
      <c r="T941" s="20">
        <f>S941/median_percentile!$B$1</f>
        <v>1.6609026062283601</v>
      </c>
      <c r="U941" s="24" t="str" cm="1">
        <f t="array" ref="U941">_xlfn.IFS(T941&lt;1,"underpaid",T941&gt;1,"overpaid",T941=1,"median pay")</f>
        <v>overpaid</v>
      </c>
      <c r="V941" s="5"/>
    </row>
    <row r="942" spans="1:22" x14ac:dyDescent="0.3">
      <c r="A942" s="21" t="s">
        <v>953</v>
      </c>
      <c r="B942" s="8" t="s">
        <v>1952</v>
      </c>
      <c r="C942" s="8" t="s">
        <v>2014</v>
      </c>
      <c r="D942" s="9">
        <v>43789</v>
      </c>
      <c r="E942" s="10">
        <f t="shared" si="140"/>
        <v>664452</v>
      </c>
      <c r="F942" s="8">
        <v>48160</v>
      </c>
      <c r="G942" s="8">
        <v>7211</v>
      </c>
      <c r="H942" s="11">
        <f t="shared" si="141"/>
        <v>24080</v>
      </c>
      <c r="I942" s="11">
        <f t="shared" si="142"/>
        <v>9632</v>
      </c>
      <c r="J942" s="11">
        <f t="shared" si="143"/>
        <v>14448</v>
      </c>
      <c r="K942" s="11">
        <f t="shared" si="144"/>
        <v>2889.6</v>
      </c>
      <c r="L942" s="8">
        <v>200</v>
      </c>
      <c r="M942" s="8">
        <f t="shared" si="145"/>
        <v>208</v>
      </c>
      <c r="N942" s="11">
        <v>1</v>
      </c>
      <c r="O942" s="11">
        <f t="shared" si="146"/>
        <v>115.76923076923077</v>
      </c>
      <c r="P942" s="11">
        <f t="shared" si="147"/>
        <v>231.53846153846155</v>
      </c>
      <c r="Q942" s="11">
        <f t="shared" si="148"/>
        <v>231.53846153846155</v>
      </c>
      <c r="R942" s="8">
        <v>52683</v>
      </c>
      <c r="S942" s="11">
        <f t="shared" si="149"/>
        <v>59894</v>
      </c>
      <c r="T942" s="20">
        <f>S942/median_percentile!$B$1</f>
        <v>1.1884083851701936</v>
      </c>
      <c r="U942" s="24" t="str" cm="1">
        <f t="array" ref="U942">_xlfn.IFS(T942&lt;1,"underpaid",T942&gt;1,"overpaid",T942=1,"median pay")</f>
        <v>overpaid</v>
      </c>
      <c r="V942" s="5"/>
    </row>
    <row r="943" spans="1:22" x14ac:dyDescent="0.3">
      <c r="A943" s="22" t="s">
        <v>954</v>
      </c>
      <c r="B943" s="12" t="s">
        <v>1953</v>
      </c>
      <c r="C943" s="12" t="s">
        <v>2013</v>
      </c>
      <c r="D943" s="13">
        <v>44773</v>
      </c>
      <c r="E943" s="14">
        <f t="shared" si="140"/>
        <v>782664</v>
      </c>
      <c r="F943" s="12">
        <v>54860</v>
      </c>
      <c r="G943" s="12">
        <v>10362</v>
      </c>
      <c r="H943" s="15">
        <f t="shared" si="141"/>
        <v>27430</v>
      </c>
      <c r="I943" s="15">
        <f t="shared" si="142"/>
        <v>10972</v>
      </c>
      <c r="J943" s="15">
        <f t="shared" si="143"/>
        <v>16458</v>
      </c>
      <c r="K943" s="15">
        <f t="shared" si="144"/>
        <v>3291.6</v>
      </c>
      <c r="L943" s="12">
        <v>200</v>
      </c>
      <c r="M943" s="12">
        <f t="shared" si="145"/>
        <v>208</v>
      </c>
      <c r="N943" s="15">
        <v>5</v>
      </c>
      <c r="O943" s="15">
        <f t="shared" si="146"/>
        <v>131.875</v>
      </c>
      <c r="P943" s="15">
        <f t="shared" si="147"/>
        <v>263.75</v>
      </c>
      <c r="Q943" s="15">
        <f t="shared" si="148"/>
        <v>1318.75</v>
      </c>
      <c r="R943" s="12">
        <v>62645</v>
      </c>
      <c r="S943" s="15">
        <f t="shared" si="149"/>
        <v>73007</v>
      </c>
      <c r="T943" s="20">
        <f>S943/median_percentile!$B$1</f>
        <v>1.4485947002390944</v>
      </c>
      <c r="U943" s="24" t="str" cm="1">
        <f t="array" ref="U943">_xlfn.IFS(T943&lt;1,"underpaid",T943&gt;1,"overpaid",T943=1,"median pay")</f>
        <v>overpaid</v>
      </c>
      <c r="V943" s="5"/>
    </row>
    <row r="944" spans="1:22" x14ac:dyDescent="0.3">
      <c r="A944" s="21" t="s">
        <v>955</v>
      </c>
      <c r="B944" s="8" t="s">
        <v>1954</v>
      </c>
      <c r="C944" s="8" t="s">
        <v>2013</v>
      </c>
      <c r="D944" s="9">
        <v>45108</v>
      </c>
      <c r="E944" s="10">
        <f t="shared" si="140"/>
        <v>757836</v>
      </c>
      <c r="F944" s="8">
        <v>53405</v>
      </c>
      <c r="G944" s="8">
        <v>9748</v>
      </c>
      <c r="H944" s="11">
        <f t="shared" si="141"/>
        <v>26702.5</v>
      </c>
      <c r="I944" s="11">
        <f t="shared" si="142"/>
        <v>10681</v>
      </c>
      <c r="J944" s="11">
        <f t="shared" si="143"/>
        <v>16021.5</v>
      </c>
      <c r="K944" s="11">
        <f t="shared" si="144"/>
        <v>3204.2999999999997</v>
      </c>
      <c r="L944" s="8">
        <v>200</v>
      </c>
      <c r="M944" s="8">
        <f t="shared" si="145"/>
        <v>208</v>
      </c>
      <c r="N944" s="11">
        <v>0</v>
      </c>
      <c r="O944" s="11">
        <f t="shared" si="146"/>
        <v>128.37740384615384</v>
      </c>
      <c r="P944" s="11">
        <f t="shared" si="147"/>
        <v>256.75480769230768</v>
      </c>
      <c r="Q944" s="11">
        <f t="shared" si="148"/>
        <v>0</v>
      </c>
      <c r="R944" s="8">
        <v>60639</v>
      </c>
      <c r="S944" s="11">
        <f t="shared" si="149"/>
        <v>70387</v>
      </c>
      <c r="T944" s="20">
        <f>S944/median_percentile!$B$1</f>
        <v>1.3966090260622837</v>
      </c>
      <c r="U944" s="24" t="str" cm="1">
        <f t="array" ref="U944">_xlfn.IFS(T944&lt;1,"underpaid",T944&gt;1,"overpaid",T944=1,"median pay")</f>
        <v>overpaid</v>
      </c>
      <c r="V944" s="5"/>
    </row>
    <row r="945" spans="1:22" x14ac:dyDescent="0.3">
      <c r="A945" s="22" t="s">
        <v>956</v>
      </c>
      <c r="B945" s="12" t="s">
        <v>1955</v>
      </c>
      <c r="C945" s="12" t="s">
        <v>2012</v>
      </c>
      <c r="D945" s="13">
        <v>44440</v>
      </c>
      <c r="E945" s="14">
        <f t="shared" si="140"/>
        <v>625776</v>
      </c>
      <c r="F945" s="12">
        <v>45959</v>
      </c>
      <c r="G945" s="12">
        <v>6189</v>
      </c>
      <c r="H945" s="15">
        <f t="shared" si="141"/>
        <v>22979.5</v>
      </c>
      <c r="I945" s="15">
        <f t="shared" si="142"/>
        <v>9191.8000000000011</v>
      </c>
      <c r="J945" s="15">
        <f t="shared" si="143"/>
        <v>13787.699999999997</v>
      </c>
      <c r="K945" s="15">
        <f t="shared" si="144"/>
        <v>2757.54</v>
      </c>
      <c r="L945" s="12">
        <v>200</v>
      </c>
      <c r="M945" s="12">
        <f t="shared" si="145"/>
        <v>208</v>
      </c>
      <c r="N945" s="15">
        <v>4</v>
      </c>
      <c r="O945" s="15">
        <f t="shared" si="146"/>
        <v>110.47836538461539</v>
      </c>
      <c r="P945" s="15">
        <f t="shared" si="147"/>
        <v>220.95673076923077</v>
      </c>
      <c r="Q945" s="15">
        <f t="shared" si="148"/>
        <v>883.82692307692309</v>
      </c>
      <c r="R945" s="12">
        <v>49191</v>
      </c>
      <c r="S945" s="15">
        <f t="shared" si="149"/>
        <v>55380</v>
      </c>
      <c r="T945" s="20">
        <f>S945/median_percentile!$B$1</f>
        <v>1.0988422274472454</v>
      </c>
      <c r="U945" s="24" t="str" cm="1">
        <f t="array" ref="U945">_xlfn.IFS(T945&lt;1,"underpaid",T945&gt;1,"overpaid",T945=1,"median pay")</f>
        <v>overpaid</v>
      </c>
      <c r="V945" s="5"/>
    </row>
    <row r="946" spans="1:22" x14ac:dyDescent="0.3">
      <c r="A946" s="21" t="s">
        <v>957</v>
      </c>
      <c r="B946" s="8" t="s">
        <v>1956</v>
      </c>
      <c r="C946" s="8" t="s">
        <v>2015</v>
      </c>
      <c r="D946" s="9">
        <v>43718</v>
      </c>
      <c r="E946" s="10">
        <f t="shared" si="140"/>
        <v>688356</v>
      </c>
      <c r="F946" s="8">
        <v>52008</v>
      </c>
      <c r="G946" s="8">
        <v>5355</v>
      </c>
      <c r="H946" s="11">
        <f t="shared" si="141"/>
        <v>26004</v>
      </c>
      <c r="I946" s="11">
        <f t="shared" si="142"/>
        <v>10401.6</v>
      </c>
      <c r="J946" s="11">
        <f t="shared" si="143"/>
        <v>15602.400000000001</v>
      </c>
      <c r="K946" s="11">
        <f t="shared" si="144"/>
        <v>3120.48</v>
      </c>
      <c r="L946" s="8">
        <v>200</v>
      </c>
      <c r="M946" s="8">
        <f t="shared" si="145"/>
        <v>208</v>
      </c>
      <c r="N946" s="11">
        <v>1</v>
      </c>
      <c r="O946" s="11">
        <f t="shared" si="146"/>
        <v>125.01923076923077</v>
      </c>
      <c r="P946" s="11">
        <f t="shared" si="147"/>
        <v>250.03846153846155</v>
      </c>
      <c r="Q946" s="11">
        <f t="shared" si="148"/>
        <v>250.03846153846155</v>
      </c>
      <c r="R946" s="8">
        <v>54476</v>
      </c>
      <c r="S946" s="11">
        <f t="shared" si="149"/>
        <v>59831</v>
      </c>
      <c r="T946" s="20">
        <f>S946/median_percentile!$B$1</f>
        <v>1.1871583479667054</v>
      </c>
      <c r="U946" s="24" t="str" cm="1">
        <f t="array" ref="U946">_xlfn.IFS(T946&lt;1,"underpaid",T946&gt;1,"overpaid",T946=1,"median pay")</f>
        <v>overpaid</v>
      </c>
      <c r="V946" s="5"/>
    </row>
    <row r="947" spans="1:22" x14ac:dyDescent="0.3">
      <c r="A947" s="22" t="s">
        <v>958</v>
      </c>
      <c r="B947" s="12" t="s">
        <v>1957</v>
      </c>
      <c r="C947" s="12" t="s">
        <v>2012</v>
      </c>
      <c r="D947" s="13">
        <v>43770</v>
      </c>
      <c r="E947" s="14">
        <f t="shared" si="140"/>
        <v>526536</v>
      </c>
      <c r="F947" s="12">
        <v>38955</v>
      </c>
      <c r="G947" s="12">
        <v>4923</v>
      </c>
      <c r="H947" s="15">
        <f t="shared" si="141"/>
        <v>19477.5</v>
      </c>
      <c r="I947" s="15">
        <f t="shared" si="142"/>
        <v>7791</v>
      </c>
      <c r="J947" s="15">
        <f t="shared" si="143"/>
        <v>11686.5</v>
      </c>
      <c r="K947" s="15">
        <f t="shared" si="144"/>
        <v>2337.2999999999997</v>
      </c>
      <c r="L947" s="12">
        <v>200</v>
      </c>
      <c r="M947" s="12">
        <f t="shared" si="145"/>
        <v>208</v>
      </c>
      <c r="N947" s="15">
        <v>4</v>
      </c>
      <c r="O947" s="15">
        <f t="shared" si="146"/>
        <v>93.64182692307692</v>
      </c>
      <c r="P947" s="15">
        <f t="shared" si="147"/>
        <v>187.28365384615384</v>
      </c>
      <c r="Q947" s="15">
        <f t="shared" si="148"/>
        <v>749.13461538461536</v>
      </c>
      <c r="R947" s="12">
        <v>41341</v>
      </c>
      <c r="S947" s="15">
        <f t="shared" si="149"/>
        <v>46264</v>
      </c>
      <c r="T947" s="20">
        <f>S947/median_percentile!$B$1</f>
        <v>0.91796382828854028</v>
      </c>
      <c r="U947" s="24" t="str" cm="1">
        <f t="array" ref="U947">_xlfn.IFS(T947&lt;1,"underpaid",T947&gt;1,"overpaid",T947=1,"median pay")</f>
        <v>underpaid</v>
      </c>
      <c r="V947" s="5"/>
    </row>
    <row r="948" spans="1:22" x14ac:dyDescent="0.3">
      <c r="A948" s="21" t="s">
        <v>959</v>
      </c>
      <c r="B948" s="8" t="s">
        <v>1958</v>
      </c>
      <c r="C948" s="8" t="s">
        <v>2014</v>
      </c>
      <c r="D948" s="9">
        <v>44980</v>
      </c>
      <c r="E948" s="10">
        <f t="shared" si="140"/>
        <v>1050960</v>
      </c>
      <c r="F948" s="8">
        <v>77150</v>
      </c>
      <c r="G948" s="8">
        <v>10430</v>
      </c>
      <c r="H948" s="11">
        <f t="shared" si="141"/>
        <v>38575</v>
      </c>
      <c r="I948" s="11">
        <f t="shared" si="142"/>
        <v>15430</v>
      </c>
      <c r="J948" s="11">
        <f t="shared" si="143"/>
        <v>23145</v>
      </c>
      <c r="K948" s="11">
        <f t="shared" si="144"/>
        <v>4629</v>
      </c>
      <c r="L948" s="8">
        <v>200</v>
      </c>
      <c r="M948" s="8">
        <f t="shared" si="145"/>
        <v>208</v>
      </c>
      <c r="N948" s="11">
        <v>4</v>
      </c>
      <c r="O948" s="11">
        <f t="shared" si="146"/>
        <v>185.45673076923077</v>
      </c>
      <c r="P948" s="11">
        <f t="shared" si="147"/>
        <v>370.91346153846155</v>
      </c>
      <c r="Q948" s="11">
        <f t="shared" si="148"/>
        <v>1483.6538461538462</v>
      </c>
      <c r="R948" s="8">
        <v>83393</v>
      </c>
      <c r="S948" s="11">
        <f t="shared" si="149"/>
        <v>93823</v>
      </c>
      <c r="T948" s="20">
        <f>S948/median_percentile!$B$1</f>
        <v>1.8616228657598937</v>
      </c>
      <c r="U948" s="24" t="str" cm="1">
        <f t="array" ref="U948">_xlfn.IFS(T948&lt;1,"underpaid",T948&gt;1,"overpaid",T948=1,"median pay")</f>
        <v>overpaid</v>
      </c>
      <c r="V948" s="5"/>
    </row>
    <row r="949" spans="1:22" x14ac:dyDescent="0.3">
      <c r="A949" s="22" t="s">
        <v>960</v>
      </c>
      <c r="B949" s="12" t="s">
        <v>1959</v>
      </c>
      <c r="C949" s="12" t="s">
        <v>2012</v>
      </c>
      <c r="D949" s="13">
        <v>44940</v>
      </c>
      <c r="E949" s="14">
        <f t="shared" si="140"/>
        <v>400260</v>
      </c>
      <c r="F949" s="12">
        <v>30281</v>
      </c>
      <c r="G949" s="12">
        <v>3074</v>
      </c>
      <c r="H949" s="15">
        <f t="shared" si="141"/>
        <v>15140.5</v>
      </c>
      <c r="I949" s="15">
        <f t="shared" si="142"/>
        <v>6056.2000000000007</v>
      </c>
      <c r="J949" s="15">
        <f t="shared" si="143"/>
        <v>9084.2999999999993</v>
      </c>
      <c r="K949" s="15">
        <f t="shared" si="144"/>
        <v>1816.86</v>
      </c>
      <c r="L949" s="12">
        <v>200</v>
      </c>
      <c r="M949" s="12">
        <f t="shared" si="145"/>
        <v>208</v>
      </c>
      <c r="N949" s="15">
        <v>3</v>
      </c>
      <c r="O949" s="15">
        <f t="shared" si="146"/>
        <v>72.790865384615387</v>
      </c>
      <c r="P949" s="15">
        <f t="shared" si="147"/>
        <v>145.58173076923077</v>
      </c>
      <c r="Q949" s="15">
        <f t="shared" si="148"/>
        <v>436.74519230769232</v>
      </c>
      <c r="R949" s="12">
        <v>31339</v>
      </c>
      <c r="S949" s="15">
        <f t="shared" si="149"/>
        <v>34413</v>
      </c>
      <c r="T949" s="20">
        <f>S949/median_percentile!$B$1</f>
        <v>0.68281794101014914</v>
      </c>
      <c r="U949" s="24" t="str" cm="1">
        <f t="array" ref="U949">_xlfn.IFS(T949&lt;1,"underpaid",T949&gt;1,"overpaid",T949=1,"median pay")</f>
        <v>underpaid</v>
      </c>
      <c r="V949" s="5"/>
    </row>
    <row r="950" spans="1:22" x14ac:dyDescent="0.3">
      <c r="A950" s="21" t="s">
        <v>961</v>
      </c>
      <c r="B950" s="8" t="s">
        <v>1960</v>
      </c>
      <c r="C950" s="8" t="s">
        <v>2012</v>
      </c>
      <c r="D950" s="9">
        <v>45023</v>
      </c>
      <c r="E950" s="10">
        <f t="shared" si="140"/>
        <v>386352</v>
      </c>
      <c r="F950" s="8">
        <v>27246</v>
      </c>
      <c r="G950" s="8">
        <v>4950</v>
      </c>
      <c r="H950" s="11">
        <f t="shared" si="141"/>
        <v>13623</v>
      </c>
      <c r="I950" s="11">
        <f t="shared" si="142"/>
        <v>5449.2000000000007</v>
      </c>
      <c r="J950" s="11">
        <f t="shared" si="143"/>
        <v>8173.7999999999993</v>
      </c>
      <c r="K950" s="11">
        <f t="shared" si="144"/>
        <v>1634.76</v>
      </c>
      <c r="L950" s="8">
        <v>200</v>
      </c>
      <c r="M950" s="8">
        <f t="shared" si="145"/>
        <v>208</v>
      </c>
      <c r="N950" s="11">
        <v>3</v>
      </c>
      <c r="O950" s="11">
        <f t="shared" si="146"/>
        <v>65.495192307692307</v>
      </c>
      <c r="P950" s="11">
        <f t="shared" si="147"/>
        <v>130.99038461538461</v>
      </c>
      <c r="Q950" s="11">
        <f t="shared" si="148"/>
        <v>392.97115384615381</v>
      </c>
      <c r="R950" s="8">
        <v>30816</v>
      </c>
      <c r="S950" s="11">
        <f t="shared" si="149"/>
        <v>35766</v>
      </c>
      <c r="T950" s="20">
        <f>S950/median_percentile!$B$1</f>
        <v>0.70966397809458615</v>
      </c>
      <c r="U950" s="24" t="str" cm="1">
        <f t="array" ref="U950">_xlfn.IFS(T950&lt;1,"underpaid",T950&gt;1,"overpaid",T950=1,"median pay")</f>
        <v>underpaid</v>
      </c>
      <c r="V950" s="5"/>
    </row>
    <row r="951" spans="1:22" x14ac:dyDescent="0.3">
      <c r="A951" s="22" t="s">
        <v>962</v>
      </c>
      <c r="B951" s="12" t="s">
        <v>1961</v>
      </c>
      <c r="C951" s="12" t="s">
        <v>2013</v>
      </c>
      <c r="D951" s="13">
        <v>43944</v>
      </c>
      <c r="E951" s="14">
        <f t="shared" si="140"/>
        <v>561780</v>
      </c>
      <c r="F951" s="12">
        <v>41930</v>
      </c>
      <c r="G951" s="12">
        <v>4885</v>
      </c>
      <c r="H951" s="15">
        <f t="shared" si="141"/>
        <v>20965</v>
      </c>
      <c r="I951" s="15">
        <f t="shared" si="142"/>
        <v>8386</v>
      </c>
      <c r="J951" s="15">
        <f t="shared" si="143"/>
        <v>12579</v>
      </c>
      <c r="K951" s="15">
        <f t="shared" si="144"/>
        <v>2515.7999999999997</v>
      </c>
      <c r="L951" s="12">
        <v>200</v>
      </c>
      <c r="M951" s="12">
        <f t="shared" si="145"/>
        <v>208</v>
      </c>
      <c r="N951" s="15">
        <v>0</v>
      </c>
      <c r="O951" s="15">
        <f t="shared" si="146"/>
        <v>100.79326923076923</v>
      </c>
      <c r="P951" s="15">
        <f t="shared" si="147"/>
        <v>201.58653846153845</v>
      </c>
      <c r="Q951" s="15">
        <f t="shared" si="148"/>
        <v>0</v>
      </c>
      <c r="R951" s="12">
        <v>44100</v>
      </c>
      <c r="S951" s="15">
        <f t="shared" si="149"/>
        <v>48985</v>
      </c>
      <c r="T951" s="20">
        <f>S951/median_percentile!$B$1</f>
        <v>0.9719535303630068</v>
      </c>
      <c r="U951" s="24" t="str" cm="1">
        <f t="array" ref="U951">_xlfn.IFS(T951&lt;1,"underpaid",T951&gt;1,"overpaid",T951=1,"median pay")</f>
        <v>underpaid</v>
      </c>
      <c r="V951" s="5"/>
    </row>
    <row r="952" spans="1:22" x14ac:dyDescent="0.3">
      <c r="A952" s="21" t="s">
        <v>963</v>
      </c>
      <c r="B952" s="8" t="s">
        <v>1962</v>
      </c>
      <c r="C952" s="8" t="s">
        <v>2011</v>
      </c>
      <c r="D952" s="9">
        <v>44275</v>
      </c>
      <c r="E952" s="10">
        <f t="shared" si="140"/>
        <v>361524</v>
      </c>
      <c r="F952" s="8">
        <v>26813</v>
      </c>
      <c r="G952" s="8">
        <v>3314</v>
      </c>
      <c r="H952" s="11">
        <f t="shared" si="141"/>
        <v>13406.5</v>
      </c>
      <c r="I952" s="11">
        <f t="shared" si="142"/>
        <v>5362.6</v>
      </c>
      <c r="J952" s="11">
        <f t="shared" si="143"/>
        <v>8043.9000000000015</v>
      </c>
      <c r="K952" s="11">
        <f t="shared" si="144"/>
        <v>1608.78</v>
      </c>
      <c r="L952" s="8">
        <v>200</v>
      </c>
      <c r="M952" s="8">
        <f t="shared" si="145"/>
        <v>208</v>
      </c>
      <c r="N952" s="11">
        <v>4</v>
      </c>
      <c r="O952" s="11">
        <f t="shared" si="146"/>
        <v>64.45432692307692</v>
      </c>
      <c r="P952" s="11">
        <f t="shared" si="147"/>
        <v>128.90865384615384</v>
      </c>
      <c r="Q952" s="11">
        <f t="shared" si="148"/>
        <v>515.63461538461536</v>
      </c>
      <c r="R952" s="8">
        <v>28542</v>
      </c>
      <c r="S952" s="11">
        <f t="shared" si="149"/>
        <v>31856</v>
      </c>
      <c r="T952" s="20">
        <f>S952/median_percentile!$B$1</f>
        <v>0.63208230403682653</v>
      </c>
      <c r="U952" s="24" t="str" cm="1">
        <f t="array" ref="U952">_xlfn.IFS(T952&lt;1,"underpaid",T952&gt;1,"overpaid",T952=1,"median pay")</f>
        <v>underpaid</v>
      </c>
      <c r="V952" s="5"/>
    </row>
    <row r="953" spans="1:22" x14ac:dyDescent="0.3">
      <c r="A953" s="22" t="s">
        <v>964</v>
      </c>
      <c r="B953" s="12" t="s">
        <v>1963</v>
      </c>
      <c r="C953" s="12" t="s">
        <v>2015</v>
      </c>
      <c r="D953" s="13">
        <v>45531</v>
      </c>
      <c r="E953" s="14">
        <f t="shared" si="140"/>
        <v>436500</v>
      </c>
      <c r="F953" s="12">
        <v>32625</v>
      </c>
      <c r="G953" s="12">
        <v>3750</v>
      </c>
      <c r="H953" s="15">
        <f t="shared" si="141"/>
        <v>16312.5</v>
      </c>
      <c r="I953" s="15">
        <f t="shared" si="142"/>
        <v>6525</v>
      </c>
      <c r="J953" s="15">
        <f t="shared" si="143"/>
        <v>9787.5</v>
      </c>
      <c r="K953" s="15">
        <f t="shared" si="144"/>
        <v>1957.5</v>
      </c>
      <c r="L953" s="12">
        <v>200</v>
      </c>
      <c r="M953" s="12">
        <f t="shared" si="145"/>
        <v>208</v>
      </c>
      <c r="N953" s="15">
        <v>5</v>
      </c>
      <c r="O953" s="15">
        <f t="shared" si="146"/>
        <v>78.425480769230774</v>
      </c>
      <c r="P953" s="15">
        <f t="shared" si="147"/>
        <v>156.85096153846155</v>
      </c>
      <c r="Q953" s="15">
        <f t="shared" si="148"/>
        <v>784.25480769230774</v>
      </c>
      <c r="R953" s="12">
        <v>34218</v>
      </c>
      <c r="S953" s="15">
        <f t="shared" si="149"/>
        <v>37968</v>
      </c>
      <c r="T953" s="20">
        <f>S953/median_percentile!$B$1</f>
        <v>0.7533557546355546</v>
      </c>
      <c r="U953" s="24" t="str" cm="1">
        <f t="array" ref="U953">_xlfn.IFS(T953&lt;1,"underpaid",T953&gt;1,"overpaid",T953=1,"median pay")</f>
        <v>underpaid</v>
      </c>
      <c r="V953" s="5"/>
    </row>
    <row r="954" spans="1:22" x14ac:dyDescent="0.3">
      <c r="A954" s="21" t="s">
        <v>965</v>
      </c>
      <c r="B954" s="8" t="s">
        <v>1964</v>
      </c>
      <c r="C954" s="8" t="s">
        <v>2015</v>
      </c>
      <c r="D954" s="9">
        <v>45381</v>
      </c>
      <c r="E954" s="10">
        <f t="shared" si="140"/>
        <v>615780</v>
      </c>
      <c r="F954" s="8">
        <v>45328</v>
      </c>
      <c r="G954" s="8">
        <v>5987</v>
      </c>
      <c r="H954" s="11">
        <f t="shared" si="141"/>
        <v>22664</v>
      </c>
      <c r="I954" s="11">
        <f t="shared" si="142"/>
        <v>9065.6</v>
      </c>
      <c r="J954" s="11">
        <f t="shared" si="143"/>
        <v>13598.400000000001</v>
      </c>
      <c r="K954" s="11">
        <f t="shared" si="144"/>
        <v>2719.68</v>
      </c>
      <c r="L954" s="8">
        <v>200</v>
      </c>
      <c r="M954" s="8">
        <f t="shared" si="145"/>
        <v>208</v>
      </c>
      <c r="N954" s="11">
        <v>0</v>
      </c>
      <c r="O954" s="11">
        <f t="shared" si="146"/>
        <v>108.96153846153847</v>
      </c>
      <c r="P954" s="11">
        <f t="shared" si="147"/>
        <v>217.92307692307693</v>
      </c>
      <c r="Q954" s="11">
        <f t="shared" si="148"/>
        <v>0</v>
      </c>
      <c r="R954" s="8">
        <v>48773</v>
      </c>
      <c r="S954" s="11">
        <f t="shared" si="149"/>
        <v>54760</v>
      </c>
      <c r="T954" s="20">
        <f>S954/median_percentile!$B$1</f>
        <v>1.0865402740160917</v>
      </c>
      <c r="U954" s="24" t="str" cm="1">
        <f t="array" ref="U954">_xlfn.IFS(T954&lt;1,"underpaid",T954&gt;1,"overpaid",T954=1,"median pay")</f>
        <v>overpaid</v>
      </c>
      <c r="V954" s="5"/>
    </row>
    <row r="955" spans="1:22" x14ac:dyDescent="0.3">
      <c r="A955" s="22" t="s">
        <v>966</v>
      </c>
      <c r="B955" s="12" t="s">
        <v>1965</v>
      </c>
      <c r="C955" s="12" t="s">
        <v>2014</v>
      </c>
      <c r="D955" s="13">
        <v>45153</v>
      </c>
      <c r="E955" s="14">
        <f t="shared" si="140"/>
        <v>518664</v>
      </c>
      <c r="F955" s="12">
        <v>37154</v>
      </c>
      <c r="G955" s="12">
        <v>6068</v>
      </c>
      <c r="H955" s="15">
        <f t="shared" si="141"/>
        <v>18577</v>
      </c>
      <c r="I955" s="15">
        <f t="shared" si="142"/>
        <v>7430.8</v>
      </c>
      <c r="J955" s="15">
        <f t="shared" si="143"/>
        <v>11146.2</v>
      </c>
      <c r="K955" s="15">
        <f t="shared" si="144"/>
        <v>2229.2399999999998</v>
      </c>
      <c r="L955" s="12">
        <v>200</v>
      </c>
      <c r="M955" s="12">
        <f t="shared" si="145"/>
        <v>208</v>
      </c>
      <c r="N955" s="15">
        <v>4</v>
      </c>
      <c r="O955" s="15">
        <f t="shared" si="146"/>
        <v>89.3125</v>
      </c>
      <c r="P955" s="15">
        <f t="shared" si="147"/>
        <v>178.625</v>
      </c>
      <c r="Q955" s="15">
        <f t="shared" si="148"/>
        <v>714.5</v>
      </c>
      <c r="R955" s="12">
        <v>40793</v>
      </c>
      <c r="S955" s="15">
        <f t="shared" si="149"/>
        <v>46861</v>
      </c>
      <c r="T955" s="20">
        <f>S955/median_percentile!$B$1</f>
        <v>0.92980941893111901</v>
      </c>
      <c r="U955" s="24" t="str" cm="1">
        <f t="array" ref="U955">_xlfn.IFS(T955&lt;1,"underpaid",T955&gt;1,"overpaid",T955=1,"median pay")</f>
        <v>underpaid</v>
      </c>
      <c r="V955" s="5"/>
    </row>
    <row r="956" spans="1:22" x14ac:dyDescent="0.3">
      <c r="A956" s="21" t="s">
        <v>967</v>
      </c>
      <c r="B956" s="8" t="s">
        <v>1966</v>
      </c>
      <c r="C956" s="8" t="s">
        <v>2012</v>
      </c>
      <c r="D956" s="9">
        <v>43752</v>
      </c>
      <c r="E956" s="10">
        <f t="shared" si="140"/>
        <v>678360</v>
      </c>
      <c r="F956" s="8">
        <v>47810</v>
      </c>
      <c r="G956" s="8">
        <v>8720</v>
      </c>
      <c r="H956" s="11">
        <f t="shared" si="141"/>
        <v>23905</v>
      </c>
      <c r="I956" s="11">
        <f t="shared" si="142"/>
        <v>9562</v>
      </c>
      <c r="J956" s="11">
        <f t="shared" si="143"/>
        <v>14343</v>
      </c>
      <c r="K956" s="11">
        <f t="shared" si="144"/>
        <v>2868.6</v>
      </c>
      <c r="L956" s="8">
        <v>200</v>
      </c>
      <c r="M956" s="8">
        <f t="shared" si="145"/>
        <v>208</v>
      </c>
      <c r="N956" s="11">
        <v>1</v>
      </c>
      <c r="O956" s="11">
        <f t="shared" si="146"/>
        <v>114.92788461538461</v>
      </c>
      <c r="P956" s="11">
        <f t="shared" si="147"/>
        <v>229.85576923076923</v>
      </c>
      <c r="Q956" s="11">
        <f t="shared" si="148"/>
        <v>229.85576923076923</v>
      </c>
      <c r="R956" s="8">
        <v>54258</v>
      </c>
      <c r="S956" s="11">
        <f t="shared" si="149"/>
        <v>62978</v>
      </c>
      <c r="T956" s="20">
        <f>S956/median_percentile!$B$1</f>
        <v>1.2496006825599968</v>
      </c>
      <c r="U956" s="24" t="str" cm="1">
        <f t="array" ref="U956">_xlfn.IFS(T956&lt;1,"underpaid",T956&gt;1,"overpaid",T956=1,"median pay")</f>
        <v>overpaid</v>
      </c>
      <c r="V956" s="5"/>
    </row>
    <row r="957" spans="1:22" x14ac:dyDescent="0.3">
      <c r="A957" s="22" t="s">
        <v>968</v>
      </c>
      <c r="B957" s="12" t="s">
        <v>1967</v>
      </c>
      <c r="C957" s="12" t="s">
        <v>2011</v>
      </c>
      <c r="D957" s="13">
        <v>43490</v>
      </c>
      <c r="E957" s="14">
        <f t="shared" si="140"/>
        <v>314292</v>
      </c>
      <c r="F957" s="12">
        <v>23476</v>
      </c>
      <c r="G957" s="12">
        <v>2715</v>
      </c>
      <c r="H957" s="15">
        <f t="shared" si="141"/>
        <v>11738</v>
      </c>
      <c r="I957" s="15">
        <f t="shared" si="142"/>
        <v>4695.2</v>
      </c>
      <c r="J957" s="15">
        <f t="shared" si="143"/>
        <v>7042.7999999999993</v>
      </c>
      <c r="K957" s="15">
        <f t="shared" si="144"/>
        <v>1408.56</v>
      </c>
      <c r="L957" s="12">
        <v>200</v>
      </c>
      <c r="M957" s="12">
        <f t="shared" si="145"/>
        <v>208</v>
      </c>
      <c r="N957" s="15">
        <v>5</v>
      </c>
      <c r="O957" s="15">
        <f t="shared" si="146"/>
        <v>56.432692307692307</v>
      </c>
      <c r="P957" s="15">
        <f t="shared" si="147"/>
        <v>112.86538461538461</v>
      </c>
      <c r="Q957" s="15">
        <f t="shared" si="148"/>
        <v>564.32692307692309</v>
      </c>
      <c r="R957" s="12">
        <v>24778</v>
      </c>
      <c r="S957" s="15">
        <f t="shared" si="149"/>
        <v>27493</v>
      </c>
      <c r="T957" s="20">
        <f>S957/median_percentile!$B$1</f>
        <v>0.54551226723017554</v>
      </c>
      <c r="U957" s="24" t="str" cm="1">
        <f t="array" ref="U957">_xlfn.IFS(T957&lt;1,"underpaid",T957&gt;1,"overpaid",T957=1,"median pay")</f>
        <v>underpaid</v>
      </c>
      <c r="V957" s="5"/>
    </row>
    <row r="958" spans="1:22" x14ac:dyDescent="0.3">
      <c r="A958" s="21" t="s">
        <v>969</v>
      </c>
      <c r="B958" s="8" t="s">
        <v>1968</v>
      </c>
      <c r="C958" s="8" t="s">
        <v>2016</v>
      </c>
      <c r="D958" s="9">
        <v>43768</v>
      </c>
      <c r="E958" s="10">
        <f t="shared" si="140"/>
        <v>607524</v>
      </c>
      <c r="F958" s="8">
        <v>43210</v>
      </c>
      <c r="G958" s="8">
        <v>7417</v>
      </c>
      <c r="H958" s="11">
        <f t="shared" si="141"/>
        <v>21605</v>
      </c>
      <c r="I958" s="11">
        <f t="shared" si="142"/>
        <v>8642</v>
      </c>
      <c r="J958" s="11">
        <f t="shared" si="143"/>
        <v>12963</v>
      </c>
      <c r="K958" s="11">
        <f t="shared" si="144"/>
        <v>2592.6</v>
      </c>
      <c r="L958" s="8">
        <v>200</v>
      </c>
      <c r="M958" s="8">
        <f t="shared" si="145"/>
        <v>208</v>
      </c>
      <c r="N958" s="11">
        <v>4</v>
      </c>
      <c r="O958" s="11">
        <f t="shared" si="146"/>
        <v>103.87019230769231</v>
      </c>
      <c r="P958" s="11">
        <f t="shared" si="147"/>
        <v>207.74038461538461</v>
      </c>
      <c r="Q958" s="11">
        <f t="shared" si="148"/>
        <v>830.96153846153845</v>
      </c>
      <c r="R958" s="8">
        <v>47835</v>
      </c>
      <c r="S958" s="11">
        <f t="shared" si="149"/>
        <v>55252</v>
      </c>
      <c r="T958" s="20">
        <f>S958/median_percentile!$B$1</f>
        <v>1.0963024693195234</v>
      </c>
      <c r="U958" s="24" t="str" cm="1">
        <f t="array" ref="U958">_xlfn.IFS(T958&lt;1,"underpaid",T958&gt;1,"overpaid",T958=1,"median pay")</f>
        <v>overpaid</v>
      </c>
      <c r="V958" s="5"/>
    </row>
    <row r="959" spans="1:22" x14ac:dyDescent="0.3">
      <c r="A959" s="22" t="s">
        <v>970</v>
      </c>
      <c r="B959" s="12" t="s">
        <v>1969</v>
      </c>
      <c r="C959" s="12" t="s">
        <v>2011</v>
      </c>
      <c r="D959" s="13">
        <v>44884</v>
      </c>
      <c r="E959" s="14">
        <f t="shared" si="140"/>
        <v>298692</v>
      </c>
      <c r="F959" s="12">
        <v>22389</v>
      </c>
      <c r="G959" s="12">
        <v>2502</v>
      </c>
      <c r="H959" s="15">
        <f t="shared" si="141"/>
        <v>11194.5</v>
      </c>
      <c r="I959" s="15">
        <f t="shared" si="142"/>
        <v>4477.8</v>
      </c>
      <c r="J959" s="15">
        <f t="shared" si="143"/>
        <v>6716.7000000000007</v>
      </c>
      <c r="K959" s="15">
        <f t="shared" si="144"/>
        <v>1343.34</v>
      </c>
      <c r="L959" s="12">
        <v>200</v>
      </c>
      <c r="M959" s="12">
        <f t="shared" si="145"/>
        <v>208</v>
      </c>
      <c r="N959" s="15">
        <v>3</v>
      </c>
      <c r="O959" s="15">
        <f t="shared" si="146"/>
        <v>53.81971153846154</v>
      </c>
      <c r="P959" s="15">
        <f t="shared" si="147"/>
        <v>107.63942307692308</v>
      </c>
      <c r="Q959" s="15">
        <f t="shared" si="148"/>
        <v>322.91826923076923</v>
      </c>
      <c r="R959" s="12">
        <v>23721</v>
      </c>
      <c r="S959" s="15">
        <f t="shared" si="149"/>
        <v>26223</v>
      </c>
      <c r="T959" s="20">
        <f>S959/median_percentile!$B$1</f>
        <v>0.52031310455668323</v>
      </c>
      <c r="U959" s="24" t="str" cm="1">
        <f t="array" ref="U959">_xlfn.IFS(T959&lt;1,"underpaid",T959&gt;1,"overpaid",T959=1,"median pay")</f>
        <v>underpaid</v>
      </c>
      <c r="V959" s="5"/>
    </row>
    <row r="960" spans="1:22" x14ac:dyDescent="0.3">
      <c r="A960" s="21" t="s">
        <v>971</v>
      </c>
      <c r="B960" s="8" t="s">
        <v>1970</v>
      </c>
      <c r="C960" s="8" t="s">
        <v>2012</v>
      </c>
      <c r="D960" s="9">
        <v>45039</v>
      </c>
      <c r="E960" s="10">
        <f t="shared" si="140"/>
        <v>479388</v>
      </c>
      <c r="F960" s="8">
        <v>35225</v>
      </c>
      <c r="G960" s="8">
        <v>4724</v>
      </c>
      <c r="H960" s="11">
        <f t="shared" si="141"/>
        <v>17612.5</v>
      </c>
      <c r="I960" s="11">
        <f t="shared" si="142"/>
        <v>7045</v>
      </c>
      <c r="J960" s="11">
        <f t="shared" si="143"/>
        <v>10567.5</v>
      </c>
      <c r="K960" s="11">
        <f t="shared" si="144"/>
        <v>2113.5</v>
      </c>
      <c r="L960" s="8">
        <v>200</v>
      </c>
      <c r="M960" s="8">
        <f t="shared" si="145"/>
        <v>208</v>
      </c>
      <c r="N960" s="11">
        <v>4</v>
      </c>
      <c r="O960" s="11">
        <f t="shared" si="146"/>
        <v>84.675480769230774</v>
      </c>
      <c r="P960" s="11">
        <f t="shared" si="147"/>
        <v>169.35096153846155</v>
      </c>
      <c r="Q960" s="11">
        <f t="shared" si="148"/>
        <v>677.40384615384619</v>
      </c>
      <c r="R960" s="8">
        <v>38223</v>
      </c>
      <c r="S960" s="11">
        <f t="shared" si="149"/>
        <v>42947</v>
      </c>
      <c r="T960" s="20">
        <f>S960/median_percentile!$B$1</f>
        <v>0.852148377431868</v>
      </c>
      <c r="U960" s="24" t="str" cm="1">
        <f t="array" ref="U960">_xlfn.IFS(T960&lt;1,"underpaid",T960&gt;1,"overpaid",T960=1,"median pay")</f>
        <v>underpaid</v>
      </c>
      <c r="V960" s="5"/>
    </row>
    <row r="961" spans="1:22" x14ac:dyDescent="0.3">
      <c r="A961" s="22" t="s">
        <v>972</v>
      </c>
      <c r="B961" s="12" t="s">
        <v>1971</v>
      </c>
      <c r="C961" s="12" t="s">
        <v>2015</v>
      </c>
      <c r="D961" s="13">
        <v>44260</v>
      </c>
      <c r="E961" s="14">
        <f t="shared" si="140"/>
        <v>742344</v>
      </c>
      <c r="F961" s="12">
        <v>53932</v>
      </c>
      <c r="G961" s="12">
        <v>7930</v>
      </c>
      <c r="H961" s="15">
        <f t="shared" si="141"/>
        <v>26966</v>
      </c>
      <c r="I961" s="15">
        <f t="shared" si="142"/>
        <v>10786.400000000001</v>
      </c>
      <c r="J961" s="15">
        <f t="shared" si="143"/>
        <v>16179.599999999999</v>
      </c>
      <c r="K961" s="15">
        <f t="shared" si="144"/>
        <v>3235.92</v>
      </c>
      <c r="L961" s="12">
        <v>200</v>
      </c>
      <c r="M961" s="12">
        <f t="shared" si="145"/>
        <v>208</v>
      </c>
      <c r="N961" s="15">
        <v>4</v>
      </c>
      <c r="O961" s="15">
        <f t="shared" si="146"/>
        <v>129.64423076923077</v>
      </c>
      <c r="P961" s="15">
        <f t="shared" si="147"/>
        <v>259.28846153846155</v>
      </c>
      <c r="Q961" s="15">
        <f t="shared" si="148"/>
        <v>1037.1538461538462</v>
      </c>
      <c r="R961" s="12">
        <v>58427</v>
      </c>
      <c r="S961" s="15">
        <f t="shared" si="149"/>
        <v>66357</v>
      </c>
      <c r="T961" s="20">
        <f>S961/median_percentile!$B$1</f>
        <v>1.3166463287597845</v>
      </c>
      <c r="U961" s="24" t="str" cm="1">
        <f t="array" ref="U961">_xlfn.IFS(T961&lt;1,"underpaid",T961&gt;1,"overpaid",T961=1,"median pay")</f>
        <v>overpaid</v>
      </c>
      <c r="V961" s="5"/>
    </row>
    <row r="962" spans="1:22" x14ac:dyDescent="0.3">
      <c r="A962" s="21" t="s">
        <v>973</v>
      </c>
      <c r="B962" s="8" t="s">
        <v>1972</v>
      </c>
      <c r="C962" s="8" t="s">
        <v>2012</v>
      </c>
      <c r="D962" s="9">
        <v>44258</v>
      </c>
      <c r="E962" s="10">
        <f t="shared" ref="E962:E1001" si="150">(F962*12)+(G962*12)</f>
        <v>349380</v>
      </c>
      <c r="F962" s="8">
        <v>26157</v>
      </c>
      <c r="G962" s="8">
        <v>2958</v>
      </c>
      <c r="H962" s="11">
        <f t="shared" ref="H962:H1001" si="151">F962*50%</f>
        <v>13078.5</v>
      </c>
      <c r="I962" s="11">
        <f t="shared" ref="I962:I1001" si="152">H962*40%</f>
        <v>5231.4000000000005</v>
      </c>
      <c r="J962" s="11">
        <f t="shared" ref="J962:J1001" si="153">F962-(H962+I962)</f>
        <v>7847.0999999999985</v>
      </c>
      <c r="K962" s="11">
        <f t="shared" ref="K962:K1001" si="154">H962*12%</f>
        <v>1569.4199999999998</v>
      </c>
      <c r="L962" s="8">
        <v>200</v>
      </c>
      <c r="M962" s="8">
        <f t="shared" si="145"/>
        <v>208</v>
      </c>
      <c r="N962" s="11">
        <v>2</v>
      </c>
      <c r="O962" s="11">
        <f t="shared" si="146"/>
        <v>62.877403846153847</v>
      </c>
      <c r="P962" s="11">
        <f t="shared" si="147"/>
        <v>125.75480769230769</v>
      </c>
      <c r="Q962" s="11">
        <f t="shared" si="148"/>
        <v>251.50961538461539</v>
      </c>
      <c r="R962" s="8">
        <v>27563</v>
      </c>
      <c r="S962" s="11">
        <f t="shared" si="149"/>
        <v>30521</v>
      </c>
      <c r="T962" s="20">
        <f>S962/median_percentile!$B$1</f>
        <v>0.60559342043910036</v>
      </c>
      <c r="U962" s="24" t="str" cm="1">
        <f t="array" ref="U962">_xlfn.IFS(T962&lt;1,"underpaid",T962&gt;1,"overpaid",T962=1,"median pay")</f>
        <v>underpaid</v>
      </c>
      <c r="V962" s="5"/>
    </row>
    <row r="963" spans="1:22" x14ac:dyDescent="0.3">
      <c r="A963" s="22" t="s">
        <v>974</v>
      </c>
      <c r="B963" s="12" t="s">
        <v>1973</v>
      </c>
      <c r="C963" s="12" t="s">
        <v>2014</v>
      </c>
      <c r="D963" s="13">
        <v>45800</v>
      </c>
      <c r="E963" s="14">
        <f t="shared" si="150"/>
        <v>610704</v>
      </c>
      <c r="F963" s="12">
        <v>43510</v>
      </c>
      <c r="G963" s="12">
        <v>7382</v>
      </c>
      <c r="H963" s="15">
        <f t="shared" si="151"/>
        <v>21755</v>
      </c>
      <c r="I963" s="15">
        <f t="shared" si="152"/>
        <v>8702</v>
      </c>
      <c r="J963" s="15">
        <f t="shared" si="153"/>
        <v>13053</v>
      </c>
      <c r="K963" s="15">
        <f t="shared" si="154"/>
        <v>2610.6</v>
      </c>
      <c r="L963" s="12">
        <v>200</v>
      </c>
      <c r="M963" s="12">
        <f t="shared" ref="M963:M1001" si="155">8*26</f>
        <v>208</v>
      </c>
      <c r="N963" s="15">
        <v>5</v>
      </c>
      <c r="O963" s="15">
        <f t="shared" ref="O963:O1001" si="156">H963/M963</f>
        <v>104.59134615384616</v>
      </c>
      <c r="P963" s="15">
        <f t="shared" ref="P963:P1001" si="157">O963*2</f>
        <v>209.18269230769232</v>
      </c>
      <c r="Q963" s="15">
        <f t="shared" ref="Q963:Q1001" si="158">P963*N963</f>
        <v>1045.9134615384617</v>
      </c>
      <c r="R963" s="12">
        <v>48444</v>
      </c>
      <c r="S963" s="15">
        <f t="shared" ref="S963:T1001" si="159">R963+G963</f>
        <v>55826</v>
      </c>
      <c r="T963" s="20">
        <f>S963/median_percentile!$B$1</f>
        <v>1.1076916971735269</v>
      </c>
      <c r="U963" s="24" t="str" cm="1">
        <f t="array" ref="U963">_xlfn.IFS(T963&lt;1,"underpaid",T963&gt;1,"overpaid",T963=1,"median pay")</f>
        <v>overpaid</v>
      </c>
      <c r="V963" s="5"/>
    </row>
    <row r="964" spans="1:22" x14ac:dyDescent="0.3">
      <c r="A964" s="21" t="s">
        <v>975</v>
      </c>
      <c r="B964" s="8" t="s">
        <v>1974</v>
      </c>
      <c r="C964" s="8" t="s">
        <v>2011</v>
      </c>
      <c r="D964" s="9">
        <v>44847</v>
      </c>
      <c r="E964" s="10">
        <f t="shared" si="150"/>
        <v>454812</v>
      </c>
      <c r="F964" s="8">
        <v>32165</v>
      </c>
      <c r="G964" s="8">
        <v>5736</v>
      </c>
      <c r="H964" s="11">
        <f t="shared" si="151"/>
        <v>16082.5</v>
      </c>
      <c r="I964" s="11">
        <f t="shared" si="152"/>
        <v>6433</v>
      </c>
      <c r="J964" s="11">
        <f t="shared" si="153"/>
        <v>9649.5</v>
      </c>
      <c r="K964" s="11">
        <f t="shared" si="154"/>
        <v>1929.8999999999999</v>
      </c>
      <c r="L964" s="8">
        <v>200</v>
      </c>
      <c r="M964" s="8">
        <f t="shared" si="155"/>
        <v>208</v>
      </c>
      <c r="N964" s="11">
        <v>4</v>
      </c>
      <c r="O964" s="11">
        <f t="shared" si="156"/>
        <v>77.319711538461533</v>
      </c>
      <c r="P964" s="11">
        <f t="shared" si="157"/>
        <v>154.63942307692307</v>
      </c>
      <c r="Q964" s="11">
        <f t="shared" si="158"/>
        <v>618.55769230769226</v>
      </c>
      <c r="R964" s="8">
        <v>36308</v>
      </c>
      <c r="S964" s="11">
        <f t="shared" si="159"/>
        <v>42044</v>
      </c>
      <c r="T964" s="20">
        <f>S964/median_percentile!$B$1</f>
        <v>0.83423117751520381</v>
      </c>
      <c r="U964" s="24" t="str" cm="1">
        <f t="array" ref="U964">_xlfn.IFS(T964&lt;1,"underpaid",T964&gt;1,"overpaid",T964=1,"median pay")</f>
        <v>underpaid</v>
      </c>
      <c r="V964" s="5"/>
    </row>
    <row r="965" spans="1:22" x14ac:dyDescent="0.3">
      <c r="A965" s="22" t="s">
        <v>976</v>
      </c>
      <c r="B965" s="12" t="s">
        <v>1975</v>
      </c>
      <c r="C965" s="12" t="s">
        <v>2011</v>
      </c>
      <c r="D965" s="13">
        <v>43762</v>
      </c>
      <c r="E965" s="14">
        <f t="shared" si="150"/>
        <v>404352</v>
      </c>
      <c r="F965" s="12">
        <v>29258</v>
      </c>
      <c r="G965" s="12">
        <v>4438</v>
      </c>
      <c r="H965" s="15">
        <f t="shared" si="151"/>
        <v>14629</v>
      </c>
      <c r="I965" s="15">
        <f t="shared" si="152"/>
        <v>5851.6</v>
      </c>
      <c r="J965" s="15">
        <f t="shared" si="153"/>
        <v>8777.4000000000015</v>
      </c>
      <c r="K965" s="15">
        <f t="shared" si="154"/>
        <v>1755.48</v>
      </c>
      <c r="L965" s="12">
        <v>200</v>
      </c>
      <c r="M965" s="12">
        <f t="shared" si="155"/>
        <v>208</v>
      </c>
      <c r="N965" s="15">
        <v>0</v>
      </c>
      <c r="O965" s="15">
        <f t="shared" si="156"/>
        <v>70.331730769230774</v>
      </c>
      <c r="P965" s="15">
        <f t="shared" si="157"/>
        <v>140.66346153846155</v>
      </c>
      <c r="Q965" s="15">
        <f t="shared" si="158"/>
        <v>0</v>
      </c>
      <c r="R965" s="12">
        <v>31741</v>
      </c>
      <c r="S965" s="15">
        <f t="shared" si="159"/>
        <v>36179</v>
      </c>
      <c r="T965" s="20">
        <f>S965/median_percentile!$B$1</f>
        <v>0.71785866642856433</v>
      </c>
      <c r="U965" s="24" t="str" cm="1">
        <f t="array" ref="U965">_xlfn.IFS(T965&lt;1,"underpaid",T965&gt;1,"overpaid",T965=1,"median pay")</f>
        <v>underpaid</v>
      </c>
      <c r="V965" s="5"/>
    </row>
    <row r="966" spans="1:22" x14ac:dyDescent="0.3">
      <c r="A966" s="21" t="s">
        <v>977</v>
      </c>
      <c r="B966" s="8" t="s">
        <v>1976</v>
      </c>
      <c r="C966" s="8" t="s">
        <v>2013</v>
      </c>
      <c r="D966" s="9">
        <v>45025</v>
      </c>
      <c r="E966" s="10">
        <f t="shared" si="150"/>
        <v>819348</v>
      </c>
      <c r="F966" s="8">
        <v>58229</v>
      </c>
      <c r="G966" s="8">
        <v>10050</v>
      </c>
      <c r="H966" s="11">
        <f t="shared" si="151"/>
        <v>29114.5</v>
      </c>
      <c r="I966" s="11">
        <f t="shared" si="152"/>
        <v>11645.800000000001</v>
      </c>
      <c r="J966" s="11">
        <f t="shared" si="153"/>
        <v>17468.699999999997</v>
      </c>
      <c r="K966" s="11">
        <f t="shared" si="154"/>
        <v>3493.74</v>
      </c>
      <c r="L966" s="8">
        <v>200</v>
      </c>
      <c r="M966" s="8">
        <f t="shared" si="155"/>
        <v>208</v>
      </c>
      <c r="N966" s="11">
        <v>1</v>
      </c>
      <c r="O966" s="11">
        <f t="shared" si="156"/>
        <v>139.97355769230768</v>
      </c>
      <c r="P966" s="11">
        <f t="shared" si="157"/>
        <v>279.94711538461536</v>
      </c>
      <c r="Q966" s="11">
        <f t="shared" si="158"/>
        <v>279.94711538461536</v>
      </c>
      <c r="R966" s="8">
        <v>65071</v>
      </c>
      <c r="S966" s="11">
        <f t="shared" si="159"/>
        <v>75121</v>
      </c>
      <c r="T966" s="20">
        <f>S966/median_percentile!$B$1</f>
        <v>1.4905403930672541</v>
      </c>
      <c r="U966" s="24" t="str" cm="1">
        <f t="array" ref="U966">_xlfn.IFS(T966&lt;1,"underpaid",T966&gt;1,"overpaid",T966=1,"median pay")</f>
        <v>overpaid</v>
      </c>
      <c r="V966" s="5"/>
    </row>
    <row r="967" spans="1:22" x14ac:dyDescent="0.3">
      <c r="A967" s="22" t="s">
        <v>978</v>
      </c>
      <c r="B967" s="12" t="s">
        <v>1977</v>
      </c>
      <c r="C967" s="12" t="s">
        <v>2015</v>
      </c>
      <c r="D967" s="13">
        <v>44026</v>
      </c>
      <c r="E967" s="14">
        <f t="shared" si="150"/>
        <v>751896</v>
      </c>
      <c r="F967" s="12">
        <v>53940</v>
      </c>
      <c r="G967" s="12">
        <v>8718</v>
      </c>
      <c r="H967" s="15">
        <f t="shared" si="151"/>
        <v>26970</v>
      </c>
      <c r="I967" s="15">
        <f t="shared" si="152"/>
        <v>10788</v>
      </c>
      <c r="J967" s="15">
        <f t="shared" si="153"/>
        <v>16182</v>
      </c>
      <c r="K967" s="15">
        <f t="shared" si="154"/>
        <v>3236.4</v>
      </c>
      <c r="L967" s="12">
        <v>200</v>
      </c>
      <c r="M967" s="12">
        <f t="shared" si="155"/>
        <v>208</v>
      </c>
      <c r="N967" s="15">
        <v>2</v>
      </c>
      <c r="O967" s="15">
        <f t="shared" si="156"/>
        <v>129.66346153846155</v>
      </c>
      <c r="P967" s="15">
        <f t="shared" si="157"/>
        <v>259.32692307692309</v>
      </c>
      <c r="Q967" s="15">
        <f t="shared" si="158"/>
        <v>518.65384615384619</v>
      </c>
      <c r="R967" s="12">
        <v>59671</v>
      </c>
      <c r="S967" s="15">
        <f t="shared" si="159"/>
        <v>68389</v>
      </c>
      <c r="T967" s="20">
        <f>S967/median_percentile!$B$1</f>
        <v>1.3569649890373721</v>
      </c>
      <c r="U967" s="24" t="str" cm="1">
        <f t="array" ref="U967">_xlfn.IFS(T967&lt;1,"underpaid",T967&gt;1,"overpaid",T967=1,"median pay")</f>
        <v>overpaid</v>
      </c>
      <c r="V967" s="5"/>
    </row>
    <row r="968" spans="1:22" x14ac:dyDescent="0.3">
      <c r="A968" s="21" t="s">
        <v>979</v>
      </c>
      <c r="B968" s="8" t="s">
        <v>1978</v>
      </c>
      <c r="C968" s="8" t="s">
        <v>2014</v>
      </c>
      <c r="D968" s="9">
        <v>44098</v>
      </c>
      <c r="E968" s="10">
        <f t="shared" si="150"/>
        <v>973296</v>
      </c>
      <c r="F968" s="8">
        <v>73089</v>
      </c>
      <c r="G968" s="8">
        <v>8019</v>
      </c>
      <c r="H968" s="11">
        <f t="shared" si="151"/>
        <v>36544.5</v>
      </c>
      <c r="I968" s="11">
        <f t="shared" si="152"/>
        <v>14617.800000000001</v>
      </c>
      <c r="J968" s="11">
        <f t="shared" si="153"/>
        <v>21926.699999999997</v>
      </c>
      <c r="K968" s="11">
        <f t="shared" si="154"/>
        <v>4385.34</v>
      </c>
      <c r="L968" s="8">
        <v>200</v>
      </c>
      <c r="M968" s="8">
        <f t="shared" si="155"/>
        <v>208</v>
      </c>
      <c r="N968" s="11">
        <v>3</v>
      </c>
      <c r="O968" s="11">
        <f t="shared" si="156"/>
        <v>175.69471153846155</v>
      </c>
      <c r="P968" s="11">
        <f t="shared" si="157"/>
        <v>351.38942307692309</v>
      </c>
      <c r="Q968" s="11">
        <f t="shared" si="158"/>
        <v>1054.1682692307693</v>
      </c>
      <c r="R968" s="8">
        <v>77132</v>
      </c>
      <c r="S968" s="11">
        <f t="shared" si="159"/>
        <v>85151</v>
      </c>
      <c r="T968" s="20">
        <f>S968/median_percentile!$B$1</f>
        <v>1.6895542526067244</v>
      </c>
      <c r="U968" s="24" t="str" cm="1">
        <f t="array" ref="U968">_xlfn.IFS(T968&lt;1,"underpaid",T968&gt;1,"overpaid",T968=1,"median pay")</f>
        <v>overpaid</v>
      </c>
      <c r="V968" s="5"/>
    </row>
    <row r="969" spans="1:22" x14ac:dyDescent="0.3">
      <c r="A969" s="22" t="s">
        <v>980</v>
      </c>
      <c r="B969" s="12" t="s">
        <v>1979</v>
      </c>
      <c r="C969" s="12" t="s">
        <v>2011</v>
      </c>
      <c r="D969" s="13">
        <v>45725</v>
      </c>
      <c r="E969" s="14">
        <f t="shared" si="150"/>
        <v>587544</v>
      </c>
      <c r="F969" s="12">
        <v>41045</v>
      </c>
      <c r="G969" s="12">
        <v>7917</v>
      </c>
      <c r="H969" s="15">
        <f t="shared" si="151"/>
        <v>20522.5</v>
      </c>
      <c r="I969" s="15">
        <f t="shared" si="152"/>
        <v>8209</v>
      </c>
      <c r="J969" s="15">
        <f t="shared" si="153"/>
        <v>12313.5</v>
      </c>
      <c r="K969" s="15">
        <f t="shared" si="154"/>
        <v>2462.6999999999998</v>
      </c>
      <c r="L969" s="12">
        <v>200</v>
      </c>
      <c r="M969" s="12">
        <f t="shared" si="155"/>
        <v>208</v>
      </c>
      <c r="N969" s="15">
        <v>0</v>
      </c>
      <c r="O969" s="15">
        <f t="shared" si="156"/>
        <v>98.665865384615387</v>
      </c>
      <c r="P969" s="15">
        <f t="shared" si="157"/>
        <v>197.33173076923077</v>
      </c>
      <c r="Q969" s="15">
        <f t="shared" si="158"/>
        <v>0</v>
      </c>
      <c r="R969" s="12">
        <v>46300</v>
      </c>
      <c r="S969" s="15">
        <f t="shared" si="159"/>
        <v>54217</v>
      </c>
      <c r="T969" s="20">
        <f>S969/median_percentile!$B$1</f>
        <v>1.0757661438336459</v>
      </c>
      <c r="U969" s="24" t="str" cm="1">
        <f t="array" ref="U969">_xlfn.IFS(T969&lt;1,"underpaid",T969&gt;1,"overpaid",T969=1,"median pay")</f>
        <v>overpaid</v>
      </c>
      <c r="V969" s="5"/>
    </row>
    <row r="970" spans="1:22" x14ac:dyDescent="0.3">
      <c r="A970" s="21" t="s">
        <v>981</v>
      </c>
      <c r="B970" s="8" t="s">
        <v>1980</v>
      </c>
      <c r="C970" s="8" t="s">
        <v>2012</v>
      </c>
      <c r="D970" s="9">
        <v>43790</v>
      </c>
      <c r="E970" s="10">
        <f t="shared" si="150"/>
        <v>486000</v>
      </c>
      <c r="F970" s="8">
        <v>35152</v>
      </c>
      <c r="G970" s="8">
        <v>5348</v>
      </c>
      <c r="H970" s="11">
        <f t="shared" si="151"/>
        <v>17576</v>
      </c>
      <c r="I970" s="11">
        <f t="shared" si="152"/>
        <v>7030.4000000000005</v>
      </c>
      <c r="J970" s="11">
        <f t="shared" si="153"/>
        <v>10545.599999999999</v>
      </c>
      <c r="K970" s="11">
        <f t="shared" si="154"/>
        <v>2109.12</v>
      </c>
      <c r="L970" s="8">
        <v>200</v>
      </c>
      <c r="M970" s="8">
        <f t="shared" si="155"/>
        <v>208</v>
      </c>
      <c r="N970" s="11">
        <v>1</v>
      </c>
      <c r="O970" s="11">
        <f t="shared" si="156"/>
        <v>84.5</v>
      </c>
      <c r="P970" s="11">
        <f t="shared" si="157"/>
        <v>169</v>
      </c>
      <c r="Q970" s="11">
        <f t="shared" si="158"/>
        <v>169</v>
      </c>
      <c r="R970" s="8">
        <v>38191</v>
      </c>
      <c r="S970" s="11">
        <f t="shared" si="159"/>
        <v>43539</v>
      </c>
      <c r="T970" s="20">
        <f>S970/median_percentile!$B$1</f>
        <v>0.86389475877258248</v>
      </c>
      <c r="U970" s="24" t="str" cm="1">
        <f t="array" ref="U970">_xlfn.IFS(T970&lt;1,"underpaid",T970&gt;1,"overpaid",T970=1,"median pay")</f>
        <v>underpaid</v>
      </c>
      <c r="V970" s="5"/>
    </row>
    <row r="971" spans="1:22" x14ac:dyDescent="0.3">
      <c r="A971" s="22" t="s">
        <v>982</v>
      </c>
      <c r="B971" s="12" t="s">
        <v>1981</v>
      </c>
      <c r="C971" s="12" t="s">
        <v>2013</v>
      </c>
      <c r="D971" s="13">
        <v>43862</v>
      </c>
      <c r="E971" s="14">
        <f t="shared" si="150"/>
        <v>704304</v>
      </c>
      <c r="F971" s="12">
        <v>49784</v>
      </c>
      <c r="G971" s="12">
        <v>8908</v>
      </c>
      <c r="H971" s="15">
        <f t="shared" si="151"/>
        <v>24892</v>
      </c>
      <c r="I971" s="15">
        <f t="shared" si="152"/>
        <v>9956.8000000000011</v>
      </c>
      <c r="J971" s="15">
        <f t="shared" si="153"/>
        <v>14935.199999999997</v>
      </c>
      <c r="K971" s="15">
        <f t="shared" si="154"/>
        <v>2987.04</v>
      </c>
      <c r="L971" s="12">
        <v>200</v>
      </c>
      <c r="M971" s="12">
        <f t="shared" si="155"/>
        <v>208</v>
      </c>
      <c r="N971" s="15">
        <v>1</v>
      </c>
      <c r="O971" s="15">
        <f t="shared" si="156"/>
        <v>119.67307692307692</v>
      </c>
      <c r="P971" s="15">
        <f t="shared" si="157"/>
        <v>239.34615384615384</v>
      </c>
      <c r="Q971" s="15">
        <f t="shared" si="158"/>
        <v>239.34615384615384</v>
      </c>
      <c r="R971" s="12">
        <v>55505</v>
      </c>
      <c r="S971" s="15">
        <f t="shared" si="159"/>
        <v>64413</v>
      </c>
      <c r="T971" s="20">
        <f>S971/median_percentile!$B$1</f>
        <v>1.2780737521950059</v>
      </c>
      <c r="U971" s="24" t="str" cm="1">
        <f t="array" ref="U971">_xlfn.IFS(T971&lt;1,"underpaid",T971&gt;1,"overpaid",T971=1,"median pay")</f>
        <v>overpaid</v>
      </c>
      <c r="V971" s="5"/>
    </row>
    <row r="972" spans="1:22" x14ac:dyDescent="0.3">
      <c r="A972" s="21" t="s">
        <v>983</v>
      </c>
      <c r="B972" s="8" t="s">
        <v>1982</v>
      </c>
      <c r="C972" s="8" t="s">
        <v>2013</v>
      </c>
      <c r="D972" s="9">
        <v>44584</v>
      </c>
      <c r="E972" s="10">
        <f t="shared" si="150"/>
        <v>702108</v>
      </c>
      <c r="F972" s="8">
        <v>50130</v>
      </c>
      <c r="G972" s="8">
        <v>8379</v>
      </c>
      <c r="H972" s="11">
        <f t="shared" si="151"/>
        <v>25065</v>
      </c>
      <c r="I972" s="11">
        <f t="shared" si="152"/>
        <v>10026</v>
      </c>
      <c r="J972" s="11">
        <f t="shared" si="153"/>
        <v>15039</v>
      </c>
      <c r="K972" s="11">
        <f t="shared" si="154"/>
        <v>3007.7999999999997</v>
      </c>
      <c r="L972" s="8">
        <v>200</v>
      </c>
      <c r="M972" s="8">
        <f t="shared" si="155"/>
        <v>208</v>
      </c>
      <c r="N972" s="11">
        <v>1</v>
      </c>
      <c r="O972" s="11">
        <f t="shared" si="156"/>
        <v>120.50480769230769</v>
      </c>
      <c r="P972" s="11">
        <f t="shared" si="157"/>
        <v>241.00961538461539</v>
      </c>
      <c r="Q972" s="11">
        <f t="shared" si="158"/>
        <v>241.00961538461539</v>
      </c>
      <c r="R972" s="8">
        <v>55302</v>
      </c>
      <c r="S972" s="11">
        <f t="shared" si="159"/>
        <v>63681</v>
      </c>
      <c r="T972" s="20">
        <f>S972/median_percentile!$B$1</f>
        <v>1.2635495104020953</v>
      </c>
      <c r="U972" s="24" t="str" cm="1">
        <f t="array" ref="U972">_xlfn.IFS(T972&lt;1,"underpaid",T972&gt;1,"overpaid",T972=1,"median pay")</f>
        <v>overpaid</v>
      </c>
      <c r="V972" s="5"/>
    </row>
    <row r="973" spans="1:22" x14ac:dyDescent="0.3">
      <c r="A973" s="22" t="s">
        <v>984</v>
      </c>
      <c r="B973" s="12" t="s">
        <v>1983</v>
      </c>
      <c r="C973" s="12" t="s">
        <v>2016</v>
      </c>
      <c r="D973" s="13">
        <v>44991</v>
      </c>
      <c r="E973" s="14">
        <f t="shared" si="150"/>
        <v>624528</v>
      </c>
      <c r="F973" s="12">
        <v>47232</v>
      </c>
      <c r="G973" s="12">
        <v>4812</v>
      </c>
      <c r="H973" s="15">
        <f t="shared" si="151"/>
        <v>23616</v>
      </c>
      <c r="I973" s="15">
        <f t="shared" si="152"/>
        <v>9446.4</v>
      </c>
      <c r="J973" s="15">
        <f t="shared" si="153"/>
        <v>14169.599999999999</v>
      </c>
      <c r="K973" s="15">
        <f t="shared" si="154"/>
        <v>2833.92</v>
      </c>
      <c r="L973" s="12">
        <v>200</v>
      </c>
      <c r="M973" s="12">
        <f t="shared" si="155"/>
        <v>208</v>
      </c>
      <c r="N973" s="15">
        <v>0</v>
      </c>
      <c r="O973" s="15">
        <f t="shared" si="156"/>
        <v>113.53846153846153</v>
      </c>
      <c r="P973" s="15">
        <f t="shared" si="157"/>
        <v>227.07692307692307</v>
      </c>
      <c r="Q973" s="15">
        <f t="shared" si="158"/>
        <v>0</v>
      </c>
      <c r="R973" s="12">
        <v>49798</v>
      </c>
      <c r="S973" s="15">
        <f t="shared" si="159"/>
        <v>54610</v>
      </c>
      <c r="T973" s="20">
        <f>S973/median_percentile!$B$1</f>
        <v>1.0835639949601674</v>
      </c>
      <c r="U973" s="24" t="str" cm="1">
        <f t="array" ref="U973">_xlfn.IFS(T973&lt;1,"underpaid",T973&gt;1,"overpaid",T973=1,"median pay")</f>
        <v>overpaid</v>
      </c>
      <c r="V973" s="5"/>
    </row>
    <row r="974" spans="1:22" x14ac:dyDescent="0.3">
      <c r="A974" s="21" t="s">
        <v>985</v>
      </c>
      <c r="B974" s="8" t="s">
        <v>1984</v>
      </c>
      <c r="C974" s="8" t="s">
        <v>2013</v>
      </c>
      <c r="D974" s="9">
        <v>43611</v>
      </c>
      <c r="E974" s="10">
        <f t="shared" si="150"/>
        <v>731916</v>
      </c>
      <c r="F974" s="8">
        <v>54881</v>
      </c>
      <c r="G974" s="8">
        <v>6112</v>
      </c>
      <c r="H974" s="11">
        <f t="shared" si="151"/>
        <v>27440.5</v>
      </c>
      <c r="I974" s="11">
        <f t="shared" si="152"/>
        <v>10976.2</v>
      </c>
      <c r="J974" s="11">
        <f t="shared" si="153"/>
        <v>16464.300000000003</v>
      </c>
      <c r="K974" s="11">
        <f t="shared" si="154"/>
        <v>3292.8599999999997</v>
      </c>
      <c r="L974" s="8">
        <v>200</v>
      </c>
      <c r="M974" s="8">
        <f t="shared" si="155"/>
        <v>208</v>
      </c>
      <c r="N974" s="11">
        <v>5</v>
      </c>
      <c r="O974" s="11">
        <f t="shared" si="156"/>
        <v>131.92548076923077</v>
      </c>
      <c r="P974" s="11">
        <f t="shared" si="157"/>
        <v>263.85096153846155</v>
      </c>
      <c r="Q974" s="11">
        <f t="shared" si="158"/>
        <v>1319.2548076923076</v>
      </c>
      <c r="R974" s="8">
        <v>57501</v>
      </c>
      <c r="S974" s="11">
        <f t="shared" si="159"/>
        <v>63613</v>
      </c>
      <c r="T974" s="20">
        <f>S974/median_percentile!$B$1</f>
        <v>1.2622002638967429</v>
      </c>
      <c r="U974" s="24" t="str" cm="1">
        <f t="array" ref="U974">_xlfn.IFS(T974&lt;1,"underpaid",T974&gt;1,"overpaid",T974=1,"median pay")</f>
        <v>overpaid</v>
      </c>
      <c r="V974" s="5"/>
    </row>
    <row r="975" spans="1:22" x14ac:dyDescent="0.3">
      <c r="A975" s="22" t="s">
        <v>986</v>
      </c>
      <c r="B975" s="12" t="s">
        <v>1985</v>
      </c>
      <c r="C975" s="12" t="s">
        <v>2015</v>
      </c>
      <c r="D975" s="13">
        <v>45279</v>
      </c>
      <c r="E975" s="14">
        <f t="shared" si="150"/>
        <v>632808</v>
      </c>
      <c r="F975" s="12">
        <v>47602</v>
      </c>
      <c r="G975" s="12">
        <v>5132</v>
      </c>
      <c r="H975" s="15">
        <f t="shared" si="151"/>
        <v>23801</v>
      </c>
      <c r="I975" s="15">
        <f t="shared" si="152"/>
        <v>9520.4</v>
      </c>
      <c r="J975" s="15">
        <f t="shared" si="153"/>
        <v>14280.599999999999</v>
      </c>
      <c r="K975" s="15">
        <f t="shared" si="154"/>
        <v>2856.12</v>
      </c>
      <c r="L975" s="12">
        <v>200</v>
      </c>
      <c r="M975" s="12">
        <f t="shared" si="155"/>
        <v>208</v>
      </c>
      <c r="N975" s="15">
        <v>4</v>
      </c>
      <c r="O975" s="15">
        <f t="shared" si="156"/>
        <v>114.42788461538461</v>
      </c>
      <c r="P975" s="15">
        <f t="shared" si="157"/>
        <v>228.85576923076923</v>
      </c>
      <c r="Q975" s="15">
        <f t="shared" si="158"/>
        <v>915.42307692307691</v>
      </c>
      <c r="R975" s="12">
        <v>49678</v>
      </c>
      <c r="S975" s="15">
        <f t="shared" si="159"/>
        <v>54810</v>
      </c>
      <c r="T975" s="20">
        <f>S975/median_percentile!$B$1</f>
        <v>1.0875323670347332</v>
      </c>
      <c r="U975" s="24" t="str" cm="1">
        <f t="array" ref="U975">_xlfn.IFS(T975&lt;1,"underpaid",T975&gt;1,"overpaid",T975=1,"median pay")</f>
        <v>overpaid</v>
      </c>
      <c r="V975" s="5"/>
    </row>
    <row r="976" spans="1:22" x14ac:dyDescent="0.3">
      <c r="A976" s="21" t="s">
        <v>987</v>
      </c>
      <c r="B976" s="8" t="s">
        <v>1986</v>
      </c>
      <c r="C976" s="8" t="s">
        <v>2015</v>
      </c>
      <c r="D976" s="9">
        <v>44776</v>
      </c>
      <c r="E976" s="10">
        <f t="shared" si="150"/>
        <v>620820</v>
      </c>
      <c r="F976" s="8">
        <v>43445</v>
      </c>
      <c r="G976" s="8">
        <v>8290</v>
      </c>
      <c r="H976" s="11">
        <f t="shared" si="151"/>
        <v>21722.5</v>
      </c>
      <c r="I976" s="11">
        <f t="shared" si="152"/>
        <v>8689</v>
      </c>
      <c r="J976" s="11">
        <f t="shared" si="153"/>
        <v>13033.5</v>
      </c>
      <c r="K976" s="11">
        <f t="shared" si="154"/>
        <v>2606.6999999999998</v>
      </c>
      <c r="L976" s="8">
        <v>200</v>
      </c>
      <c r="M976" s="8">
        <f t="shared" si="155"/>
        <v>208</v>
      </c>
      <c r="N976" s="11">
        <v>1</v>
      </c>
      <c r="O976" s="11">
        <f t="shared" si="156"/>
        <v>104.43509615384616</v>
      </c>
      <c r="P976" s="11">
        <f t="shared" si="157"/>
        <v>208.87019230769232</v>
      </c>
      <c r="Q976" s="11">
        <f t="shared" si="158"/>
        <v>208.87019230769232</v>
      </c>
      <c r="R976" s="8">
        <v>49653</v>
      </c>
      <c r="S976" s="11">
        <f t="shared" si="159"/>
        <v>57943</v>
      </c>
      <c r="T976" s="20">
        <f>S976/median_percentile!$B$1</f>
        <v>1.149696915582805</v>
      </c>
      <c r="U976" s="24" t="str" cm="1">
        <f t="array" ref="U976">_xlfn.IFS(T976&lt;1,"underpaid",T976&gt;1,"overpaid",T976=1,"median pay")</f>
        <v>overpaid</v>
      </c>
      <c r="V976" s="5"/>
    </row>
    <row r="977" spans="1:22" x14ac:dyDescent="0.3">
      <c r="A977" s="22" t="s">
        <v>988</v>
      </c>
      <c r="B977" s="12" t="s">
        <v>1987</v>
      </c>
      <c r="C977" s="12" t="s">
        <v>2012</v>
      </c>
      <c r="D977" s="13">
        <v>45112</v>
      </c>
      <c r="E977" s="14">
        <f t="shared" si="150"/>
        <v>611268</v>
      </c>
      <c r="F977" s="12">
        <v>42635</v>
      </c>
      <c r="G977" s="12">
        <v>8304</v>
      </c>
      <c r="H977" s="15">
        <f t="shared" si="151"/>
        <v>21317.5</v>
      </c>
      <c r="I977" s="15">
        <f t="shared" si="152"/>
        <v>8527</v>
      </c>
      <c r="J977" s="15">
        <f t="shared" si="153"/>
        <v>12790.5</v>
      </c>
      <c r="K977" s="15">
        <f t="shared" si="154"/>
        <v>2558.1</v>
      </c>
      <c r="L977" s="12">
        <v>200</v>
      </c>
      <c r="M977" s="12">
        <f t="shared" si="155"/>
        <v>208</v>
      </c>
      <c r="N977" s="15">
        <v>2</v>
      </c>
      <c r="O977" s="15">
        <f t="shared" si="156"/>
        <v>102.48798076923077</v>
      </c>
      <c r="P977" s="15">
        <f t="shared" si="157"/>
        <v>204.97596153846155</v>
      </c>
      <c r="Q977" s="15">
        <f t="shared" si="158"/>
        <v>409.95192307692309</v>
      </c>
      <c r="R977" s="12">
        <v>48536</v>
      </c>
      <c r="S977" s="15">
        <f t="shared" si="159"/>
        <v>56840</v>
      </c>
      <c r="T977" s="20">
        <f>S977/median_percentile!$B$1</f>
        <v>1.1278113435915751</v>
      </c>
      <c r="U977" s="24" t="str" cm="1">
        <f t="array" ref="U977">_xlfn.IFS(T977&lt;1,"underpaid",T977&gt;1,"overpaid",T977=1,"median pay")</f>
        <v>overpaid</v>
      </c>
      <c r="V977" s="5"/>
    </row>
    <row r="978" spans="1:22" x14ac:dyDescent="0.3">
      <c r="A978" s="21" t="s">
        <v>989</v>
      </c>
      <c r="B978" s="8" t="s">
        <v>1988</v>
      </c>
      <c r="C978" s="8" t="s">
        <v>2012</v>
      </c>
      <c r="D978" s="9">
        <v>44530</v>
      </c>
      <c r="E978" s="10">
        <f t="shared" si="150"/>
        <v>389352</v>
      </c>
      <c r="F978" s="8">
        <v>29009</v>
      </c>
      <c r="G978" s="8">
        <v>3437</v>
      </c>
      <c r="H978" s="11">
        <f t="shared" si="151"/>
        <v>14504.5</v>
      </c>
      <c r="I978" s="11">
        <f t="shared" si="152"/>
        <v>5801.8</v>
      </c>
      <c r="J978" s="11">
        <f t="shared" si="153"/>
        <v>8702.7000000000007</v>
      </c>
      <c r="K978" s="11">
        <f t="shared" si="154"/>
        <v>1740.54</v>
      </c>
      <c r="L978" s="8">
        <v>200</v>
      </c>
      <c r="M978" s="8">
        <f t="shared" si="155"/>
        <v>208</v>
      </c>
      <c r="N978" s="11">
        <v>1</v>
      </c>
      <c r="O978" s="11">
        <f t="shared" si="156"/>
        <v>69.73317307692308</v>
      </c>
      <c r="P978" s="11">
        <f t="shared" si="157"/>
        <v>139.46634615384616</v>
      </c>
      <c r="Q978" s="11">
        <f t="shared" si="158"/>
        <v>139.46634615384616</v>
      </c>
      <c r="R978" s="8">
        <v>30506</v>
      </c>
      <c r="S978" s="11">
        <f t="shared" si="159"/>
        <v>33943</v>
      </c>
      <c r="T978" s="20">
        <f>S978/median_percentile!$B$1</f>
        <v>0.67349226663491968</v>
      </c>
      <c r="U978" s="24" t="str" cm="1">
        <f t="array" ref="U978">_xlfn.IFS(T978&lt;1,"underpaid",T978&gt;1,"overpaid",T978=1,"median pay")</f>
        <v>underpaid</v>
      </c>
      <c r="V978" s="5"/>
    </row>
    <row r="979" spans="1:22" x14ac:dyDescent="0.3">
      <c r="A979" s="22" t="s">
        <v>990</v>
      </c>
      <c r="B979" s="12" t="s">
        <v>1989</v>
      </c>
      <c r="C979" s="12" t="s">
        <v>2013</v>
      </c>
      <c r="D979" s="13">
        <v>44274</v>
      </c>
      <c r="E979" s="14">
        <f t="shared" si="150"/>
        <v>560784</v>
      </c>
      <c r="F979" s="12">
        <v>42071</v>
      </c>
      <c r="G979" s="12">
        <v>4661</v>
      </c>
      <c r="H979" s="15">
        <f t="shared" si="151"/>
        <v>21035.5</v>
      </c>
      <c r="I979" s="15">
        <f t="shared" si="152"/>
        <v>8414.2000000000007</v>
      </c>
      <c r="J979" s="15">
        <f t="shared" si="153"/>
        <v>12621.3</v>
      </c>
      <c r="K979" s="15">
        <f t="shared" si="154"/>
        <v>2524.2599999999998</v>
      </c>
      <c r="L979" s="12">
        <v>200</v>
      </c>
      <c r="M979" s="12">
        <f t="shared" si="155"/>
        <v>208</v>
      </c>
      <c r="N979" s="15">
        <v>5</v>
      </c>
      <c r="O979" s="15">
        <f t="shared" si="156"/>
        <v>101.13221153846153</v>
      </c>
      <c r="P979" s="15">
        <f t="shared" si="157"/>
        <v>202.26442307692307</v>
      </c>
      <c r="Q979" s="15">
        <f t="shared" si="158"/>
        <v>1011.3221153846154</v>
      </c>
      <c r="R979" s="12">
        <v>44358</v>
      </c>
      <c r="S979" s="15">
        <f t="shared" si="159"/>
        <v>49019</v>
      </c>
      <c r="T979" s="20">
        <f>S979/median_percentile!$B$1</f>
        <v>0.972628153615683</v>
      </c>
      <c r="U979" s="24" t="str" cm="1">
        <f t="array" ref="U979">_xlfn.IFS(T979&lt;1,"underpaid",T979&gt;1,"overpaid",T979=1,"median pay")</f>
        <v>underpaid</v>
      </c>
      <c r="V979" s="5"/>
    </row>
    <row r="980" spans="1:22" x14ac:dyDescent="0.3">
      <c r="A980" s="21" t="s">
        <v>991</v>
      </c>
      <c r="B980" s="8" t="s">
        <v>1990</v>
      </c>
      <c r="C980" s="8" t="s">
        <v>2015</v>
      </c>
      <c r="D980" s="9">
        <v>45843</v>
      </c>
      <c r="E980" s="10">
        <f t="shared" si="150"/>
        <v>474060</v>
      </c>
      <c r="F980" s="8">
        <v>33010</v>
      </c>
      <c r="G980" s="8">
        <v>6495</v>
      </c>
      <c r="H980" s="11">
        <f t="shared" si="151"/>
        <v>16505</v>
      </c>
      <c r="I980" s="11">
        <f t="shared" si="152"/>
        <v>6602</v>
      </c>
      <c r="J980" s="11">
        <f t="shared" si="153"/>
        <v>9903</v>
      </c>
      <c r="K980" s="11">
        <f t="shared" si="154"/>
        <v>1980.6</v>
      </c>
      <c r="L980" s="8">
        <v>200</v>
      </c>
      <c r="M980" s="8">
        <f t="shared" si="155"/>
        <v>208</v>
      </c>
      <c r="N980" s="11">
        <v>1</v>
      </c>
      <c r="O980" s="11">
        <f t="shared" si="156"/>
        <v>79.350961538461533</v>
      </c>
      <c r="P980" s="11">
        <f t="shared" si="157"/>
        <v>158.70192307692307</v>
      </c>
      <c r="Q980" s="11">
        <f t="shared" si="158"/>
        <v>158.70192307692307</v>
      </c>
      <c r="R980" s="8">
        <v>37600</v>
      </c>
      <c r="S980" s="11">
        <f t="shared" si="159"/>
        <v>44095</v>
      </c>
      <c r="T980" s="20">
        <f>S980/median_percentile!$B$1</f>
        <v>0.87492683313987518</v>
      </c>
      <c r="U980" s="24" t="str" cm="1">
        <f t="array" ref="U980">_xlfn.IFS(T980&lt;1,"underpaid",T980&gt;1,"overpaid",T980=1,"median pay")</f>
        <v>underpaid</v>
      </c>
      <c r="V980" s="5"/>
    </row>
    <row r="981" spans="1:22" x14ac:dyDescent="0.3">
      <c r="A981" s="22" t="s">
        <v>992</v>
      </c>
      <c r="B981" s="12" t="s">
        <v>1991</v>
      </c>
      <c r="C981" s="12" t="s">
        <v>2013</v>
      </c>
      <c r="D981" s="13">
        <v>45253</v>
      </c>
      <c r="E981" s="14">
        <f t="shared" si="150"/>
        <v>577080</v>
      </c>
      <c r="F981" s="12">
        <v>42396</v>
      </c>
      <c r="G981" s="12">
        <v>5694</v>
      </c>
      <c r="H981" s="15">
        <f t="shared" si="151"/>
        <v>21198</v>
      </c>
      <c r="I981" s="15">
        <f t="shared" si="152"/>
        <v>8479.2000000000007</v>
      </c>
      <c r="J981" s="15">
        <f t="shared" si="153"/>
        <v>12718.8</v>
      </c>
      <c r="K981" s="15">
        <f t="shared" si="154"/>
        <v>2543.7599999999998</v>
      </c>
      <c r="L981" s="12">
        <v>200</v>
      </c>
      <c r="M981" s="12">
        <f t="shared" si="155"/>
        <v>208</v>
      </c>
      <c r="N981" s="15">
        <v>3</v>
      </c>
      <c r="O981" s="15">
        <f t="shared" si="156"/>
        <v>101.91346153846153</v>
      </c>
      <c r="P981" s="15">
        <f t="shared" si="157"/>
        <v>203.82692307692307</v>
      </c>
      <c r="Q981" s="15">
        <f t="shared" si="158"/>
        <v>611.48076923076917</v>
      </c>
      <c r="R981" s="12">
        <v>45700</v>
      </c>
      <c r="S981" s="15">
        <f t="shared" si="159"/>
        <v>51394</v>
      </c>
      <c r="T981" s="20">
        <f>S981/median_percentile!$B$1</f>
        <v>1.0197525720011509</v>
      </c>
      <c r="U981" s="24" t="str" cm="1">
        <f t="array" ref="U981">_xlfn.IFS(T981&lt;1,"underpaid",T981&gt;1,"overpaid",T981=1,"median pay")</f>
        <v>overpaid</v>
      </c>
      <c r="V981" s="5"/>
    </row>
    <row r="982" spans="1:22" x14ac:dyDescent="0.3">
      <c r="A982" s="21" t="s">
        <v>993</v>
      </c>
      <c r="B982" s="8" t="s">
        <v>1992</v>
      </c>
      <c r="C982" s="8" t="s">
        <v>2012</v>
      </c>
      <c r="D982" s="9">
        <v>43682</v>
      </c>
      <c r="E982" s="10">
        <f t="shared" si="150"/>
        <v>571344</v>
      </c>
      <c r="F982" s="8">
        <v>40088</v>
      </c>
      <c r="G982" s="8">
        <v>7524</v>
      </c>
      <c r="H982" s="11">
        <f t="shared" si="151"/>
        <v>20044</v>
      </c>
      <c r="I982" s="11">
        <f t="shared" si="152"/>
        <v>8017.6</v>
      </c>
      <c r="J982" s="11">
        <f t="shared" si="153"/>
        <v>12026.400000000001</v>
      </c>
      <c r="K982" s="11">
        <f t="shared" si="154"/>
        <v>2405.2799999999997</v>
      </c>
      <c r="L982" s="8">
        <v>200</v>
      </c>
      <c r="M982" s="8">
        <f t="shared" si="155"/>
        <v>208</v>
      </c>
      <c r="N982" s="11">
        <v>4</v>
      </c>
      <c r="O982" s="11">
        <f t="shared" si="156"/>
        <v>96.365384615384613</v>
      </c>
      <c r="P982" s="11">
        <f t="shared" si="157"/>
        <v>192.73076923076923</v>
      </c>
      <c r="Q982" s="11">
        <f t="shared" si="158"/>
        <v>770.92307692307691</v>
      </c>
      <c r="R982" s="8">
        <v>45007</v>
      </c>
      <c r="S982" s="11">
        <f t="shared" si="159"/>
        <v>52531</v>
      </c>
      <c r="T982" s="20">
        <f>S982/median_percentile!$B$1</f>
        <v>1.0423127672450569</v>
      </c>
      <c r="U982" s="24" t="str" cm="1">
        <f t="array" ref="U982">_xlfn.IFS(T982&lt;1,"underpaid",T982&gt;1,"overpaid",T982=1,"median pay")</f>
        <v>overpaid</v>
      </c>
      <c r="V982" s="5"/>
    </row>
    <row r="983" spans="1:22" x14ac:dyDescent="0.3">
      <c r="A983" s="22" t="s">
        <v>994</v>
      </c>
      <c r="B983" s="12" t="s">
        <v>1993</v>
      </c>
      <c r="C983" s="12" t="s">
        <v>2011</v>
      </c>
      <c r="D983" s="13">
        <v>45415</v>
      </c>
      <c r="E983" s="14">
        <f t="shared" si="150"/>
        <v>424248</v>
      </c>
      <c r="F983" s="12">
        <v>29586</v>
      </c>
      <c r="G983" s="12">
        <v>5768</v>
      </c>
      <c r="H983" s="15">
        <f t="shared" si="151"/>
        <v>14793</v>
      </c>
      <c r="I983" s="15">
        <f t="shared" si="152"/>
        <v>5917.2000000000007</v>
      </c>
      <c r="J983" s="15">
        <f t="shared" si="153"/>
        <v>8875.7999999999993</v>
      </c>
      <c r="K983" s="15">
        <f t="shared" si="154"/>
        <v>1775.1599999999999</v>
      </c>
      <c r="L983" s="12">
        <v>200</v>
      </c>
      <c r="M983" s="12">
        <f t="shared" si="155"/>
        <v>208</v>
      </c>
      <c r="N983" s="15">
        <v>5</v>
      </c>
      <c r="O983" s="15">
        <f t="shared" si="156"/>
        <v>71.120192307692307</v>
      </c>
      <c r="P983" s="15">
        <f>O983*2</f>
        <v>142.24038461538461</v>
      </c>
      <c r="Q983" s="15">
        <f t="shared" si="158"/>
        <v>711.20192307692309</v>
      </c>
      <c r="R983" s="12">
        <v>33872</v>
      </c>
      <c r="S983" s="15">
        <f t="shared" si="159"/>
        <v>39640</v>
      </c>
      <c r="T983" s="20">
        <f>S983/median_percentile!$B$1</f>
        <v>0.78653134517892398</v>
      </c>
      <c r="U983" s="24" t="str" cm="1">
        <f t="array" ref="U983">_xlfn.IFS(T983&lt;1,"underpaid",T983&gt;1,"overpaid",T983=1,"median pay")</f>
        <v>underpaid</v>
      </c>
      <c r="V983" s="5"/>
    </row>
    <row r="984" spans="1:22" x14ac:dyDescent="0.3">
      <c r="A984" s="21" t="s">
        <v>995</v>
      </c>
      <c r="B984" s="8" t="s">
        <v>1994</v>
      </c>
      <c r="C984" s="8" t="s">
        <v>2011</v>
      </c>
      <c r="D984" s="9">
        <v>45559</v>
      </c>
      <c r="E984" s="10">
        <f t="shared" si="150"/>
        <v>443220</v>
      </c>
      <c r="F984" s="8">
        <v>32671</v>
      </c>
      <c r="G984" s="8">
        <v>4264</v>
      </c>
      <c r="H984" s="11">
        <f t="shared" si="151"/>
        <v>16335.5</v>
      </c>
      <c r="I984" s="11">
        <f t="shared" si="152"/>
        <v>6534.2000000000007</v>
      </c>
      <c r="J984" s="11">
        <f t="shared" si="153"/>
        <v>9801.2999999999993</v>
      </c>
      <c r="K984" s="11">
        <f t="shared" si="154"/>
        <v>1960.26</v>
      </c>
      <c r="L984" s="8">
        <v>200</v>
      </c>
      <c r="M984" s="8">
        <f t="shared" si="155"/>
        <v>208</v>
      </c>
      <c r="N984" s="11">
        <v>5</v>
      </c>
      <c r="O984" s="11">
        <f t="shared" si="156"/>
        <v>78.536057692307693</v>
      </c>
      <c r="P984" s="11">
        <f t="shared" si="157"/>
        <v>157.07211538461539</v>
      </c>
      <c r="Q984" s="11">
        <f t="shared" si="158"/>
        <v>785.36057692307691</v>
      </c>
      <c r="R984" s="8">
        <v>34775</v>
      </c>
      <c r="S984" s="11">
        <f t="shared" si="159"/>
        <v>39039</v>
      </c>
      <c r="T984" s="20">
        <f>S984/median_percentile!$B$1</f>
        <v>0.77460638709485397</v>
      </c>
      <c r="U984" s="24" t="str" cm="1">
        <f t="array" ref="U984">_xlfn.IFS(T984&lt;1,"underpaid",T984&gt;1,"overpaid",T984=1,"median pay")</f>
        <v>underpaid</v>
      </c>
      <c r="V984" s="5"/>
    </row>
    <row r="985" spans="1:22" x14ac:dyDescent="0.3">
      <c r="A985" s="22" t="s">
        <v>996</v>
      </c>
      <c r="B985" s="12" t="s">
        <v>1995</v>
      </c>
      <c r="C985" s="12" t="s">
        <v>2012</v>
      </c>
      <c r="D985" s="13">
        <v>45243</v>
      </c>
      <c r="E985" s="14">
        <f t="shared" si="150"/>
        <v>635640</v>
      </c>
      <c r="F985" s="12">
        <v>46021</v>
      </c>
      <c r="G985" s="12">
        <v>6949</v>
      </c>
      <c r="H985" s="15">
        <f t="shared" si="151"/>
        <v>23010.5</v>
      </c>
      <c r="I985" s="15">
        <f t="shared" si="152"/>
        <v>9204.2000000000007</v>
      </c>
      <c r="J985" s="15">
        <f t="shared" si="153"/>
        <v>13806.3</v>
      </c>
      <c r="K985" s="15">
        <f t="shared" si="154"/>
        <v>2761.2599999999998</v>
      </c>
      <c r="L985" s="12">
        <v>200</v>
      </c>
      <c r="M985" s="12">
        <f t="shared" si="155"/>
        <v>208</v>
      </c>
      <c r="N985" s="15">
        <v>1</v>
      </c>
      <c r="O985" s="15">
        <f t="shared" si="156"/>
        <v>110.62740384615384</v>
      </c>
      <c r="P985" s="15">
        <f t="shared" si="157"/>
        <v>221.25480769230768</v>
      </c>
      <c r="Q985" s="15">
        <f t="shared" si="158"/>
        <v>221.25480769230768</v>
      </c>
      <c r="R985" s="12">
        <v>50776</v>
      </c>
      <c r="S985" s="15">
        <f t="shared" si="159"/>
        <v>57725</v>
      </c>
      <c r="T985" s="20">
        <f>S985/median_percentile!$B$1</f>
        <v>1.1453713900215283</v>
      </c>
      <c r="U985" s="24" t="str" cm="1">
        <f t="array" ref="U985">_xlfn.IFS(T985&lt;1,"underpaid",T985&gt;1,"overpaid",T985=1,"median pay")</f>
        <v>overpaid</v>
      </c>
      <c r="V985" s="5"/>
    </row>
    <row r="986" spans="1:22" x14ac:dyDescent="0.3">
      <c r="A986" s="21" t="s">
        <v>997</v>
      </c>
      <c r="B986" s="8" t="s">
        <v>1996</v>
      </c>
      <c r="C986" s="8" t="s">
        <v>2015</v>
      </c>
      <c r="D986" s="9">
        <v>43777</v>
      </c>
      <c r="E986" s="10">
        <f t="shared" si="150"/>
        <v>580596</v>
      </c>
      <c r="F986" s="8">
        <v>41238</v>
      </c>
      <c r="G986" s="8">
        <v>7145</v>
      </c>
      <c r="H986" s="11">
        <f t="shared" si="151"/>
        <v>20619</v>
      </c>
      <c r="I986" s="11">
        <f t="shared" si="152"/>
        <v>8247.6</v>
      </c>
      <c r="J986" s="11">
        <f t="shared" si="153"/>
        <v>12371.400000000001</v>
      </c>
      <c r="K986" s="11">
        <f t="shared" si="154"/>
        <v>2474.2799999999997</v>
      </c>
      <c r="L986" s="8">
        <v>200</v>
      </c>
      <c r="M986" s="8">
        <f t="shared" si="155"/>
        <v>208</v>
      </c>
      <c r="N986" s="11">
        <v>4</v>
      </c>
      <c r="O986" s="11">
        <f t="shared" si="156"/>
        <v>99.129807692307693</v>
      </c>
      <c r="P986" s="11">
        <f t="shared" si="157"/>
        <v>198.25961538461539</v>
      </c>
      <c r="Q986" s="11">
        <f t="shared" si="158"/>
        <v>793.03846153846155</v>
      </c>
      <c r="R986" s="8">
        <v>45709</v>
      </c>
      <c r="S986" s="11">
        <f t="shared" si="159"/>
        <v>52854</v>
      </c>
      <c r="T986" s="20">
        <f>S986/median_percentile!$B$1</f>
        <v>1.0487216881454806</v>
      </c>
      <c r="U986" s="24" t="str" cm="1">
        <f t="array" ref="U986">_xlfn.IFS(T986&lt;1,"underpaid",T986&gt;1,"overpaid",T986=1,"median pay")</f>
        <v>overpaid</v>
      </c>
      <c r="V986" s="5"/>
    </row>
    <row r="987" spans="1:22" x14ac:dyDescent="0.3">
      <c r="A987" s="22" t="s">
        <v>998</v>
      </c>
      <c r="B987" s="12" t="s">
        <v>1997</v>
      </c>
      <c r="C987" s="12" t="s">
        <v>2013</v>
      </c>
      <c r="D987" s="13">
        <v>46006</v>
      </c>
      <c r="E987" s="14">
        <f t="shared" si="150"/>
        <v>643320</v>
      </c>
      <c r="F987" s="12">
        <v>47489</v>
      </c>
      <c r="G987" s="12">
        <v>6121</v>
      </c>
      <c r="H987" s="15">
        <f t="shared" si="151"/>
        <v>23744.5</v>
      </c>
      <c r="I987" s="15">
        <f t="shared" si="152"/>
        <v>9497.8000000000011</v>
      </c>
      <c r="J987" s="15">
        <f t="shared" si="153"/>
        <v>14246.699999999997</v>
      </c>
      <c r="K987" s="15">
        <f t="shared" si="154"/>
        <v>2849.3399999999997</v>
      </c>
      <c r="L987" s="12">
        <v>200</v>
      </c>
      <c r="M987" s="12">
        <f t="shared" si="155"/>
        <v>208</v>
      </c>
      <c r="N987" s="15">
        <v>1</v>
      </c>
      <c r="O987" s="15">
        <f t="shared" si="156"/>
        <v>114.15625</v>
      </c>
      <c r="P987" s="15">
        <f t="shared" si="157"/>
        <v>228.3125</v>
      </c>
      <c r="Q987" s="15">
        <f t="shared" si="158"/>
        <v>228.3125</v>
      </c>
      <c r="R987" s="12">
        <v>50956</v>
      </c>
      <c r="S987" s="15">
        <f t="shared" si="159"/>
        <v>57077</v>
      </c>
      <c r="T987" s="20">
        <f>S987/median_percentile!$B$1</f>
        <v>1.1325138644999355</v>
      </c>
      <c r="U987" s="24" t="str" cm="1">
        <f t="array" ref="U987">_xlfn.IFS(T987&lt;1,"underpaid",T987&gt;1,"overpaid",T987=1,"median pay")</f>
        <v>overpaid</v>
      </c>
      <c r="V987" s="5"/>
    </row>
    <row r="988" spans="1:22" x14ac:dyDescent="0.3">
      <c r="A988" s="21" t="s">
        <v>999</v>
      </c>
      <c r="B988" s="8" t="s">
        <v>1998</v>
      </c>
      <c r="C988" s="8" t="s">
        <v>2014</v>
      </c>
      <c r="D988" s="9">
        <v>44728</v>
      </c>
      <c r="E988" s="10">
        <f t="shared" si="150"/>
        <v>662004</v>
      </c>
      <c r="F988" s="8">
        <v>45973</v>
      </c>
      <c r="G988" s="8">
        <v>9194</v>
      </c>
      <c r="H988" s="11">
        <f t="shared" si="151"/>
        <v>22986.5</v>
      </c>
      <c r="I988" s="11">
        <f t="shared" si="152"/>
        <v>9194.6</v>
      </c>
      <c r="J988" s="11">
        <f t="shared" si="153"/>
        <v>13791.900000000001</v>
      </c>
      <c r="K988" s="11">
        <f t="shared" si="154"/>
        <v>2758.38</v>
      </c>
      <c r="L988" s="8">
        <v>200</v>
      </c>
      <c r="M988" s="8">
        <f t="shared" si="155"/>
        <v>208</v>
      </c>
      <c r="N988" s="11">
        <v>5</v>
      </c>
      <c r="O988" s="11">
        <f t="shared" si="156"/>
        <v>110.51201923076923</v>
      </c>
      <c r="P988" s="11">
        <f t="shared" si="157"/>
        <v>221.02403846153845</v>
      </c>
      <c r="Q988" s="11">
        <f t="shared" si="158"/>
        <v>1105.1201923076924</v>
      </c>
      <c r="R988" s="8">
        <v>52209</v>
      </c>
      <c r="S988" s="11">
        <f t="shared" si="159"/>
        <v>61403</v>
      </c>
      <c r="T988" s="20">
        <f>S988/median_percentile!$B$1</f>
        <v>1.2183497524727918</v>
      </c>
      <c r="U988" s="24" t="str" cm="1">
        <f t="array" ref="U988">_xlfn.IFS(T988&lt;1,"underpaid",T988&gt;1,"overpaid",T988=1,"median pay")</f>
        <v>overpaid</v>
      </c>
      <c r="V988" s="5"/>
    </row>
    <row r="989" spans="1:22" x14ac:dyDescent="0.3">
      <c r="A989" s="22" t="s">
        <v>1000</v>
      </c>
      <c r="B989" s="12" t="s">
        <v>1999</v>
      </c>
      <c r="C989" s="12" t="s">
        <v>2013</v>
      </c>
      <c r="D989" s="13">
        <v>44353</v>
      </c>
      <c r="E989" s="14">
        <f t="shared" si="150"/>
        <v>701160</v>
      </c>
      <c r="F989" s="12">
        <v>50732</v>
      </c>
      <c r="G989" s="12">
        <v>7698</v>
      </c>
      <c r="H989" s="15">
        <f t="shared" si="151"/>
        <v>25366</v>
      </c>
      <c r="I989" s="15">
        <f t="shared" si="152"/>
        <v>10146.400000000001</v>
      </c>
      <c r="J989" s="15">
        <f t="shared" si="153"/>
        <v>15219.599999999999</v>
      </c>
      <c r="K989" s="15">
        <f t="shared" si="154"/>
        <v>3043.92</v>
      </c>
      <c r="L989" s="12">
        <v>200</v>
      </c>
      <c r="M989" s="12">
        <f t="shared" si="155"/>
        <v>208</v>
      </c>
      <c r="N989" s="15">
        <v>1</v>
      </c>
      <c r="O989" s="15">
        <f t="shared" si="156"/>
        <v>121.95192307692308</v>
      </c>
      <c r="P989" s="15">
        <f t="shared" si="157"/>
        <v>243.90384615384616</v>
      </c>
      <c r="Q989" s="15">
        <f t="shared" si="158"/>
        <v>243.90384615384616</v>
      </c>
      <c r="R989" s="12">
        <v>56032</v>
      </c>
      <c r="S989" s="15">
        <f t="shared" si="159"/>
        <v>63730</v>
      </c>
      <c r="T989" s="20">
        <f>S989/median_percentile!$B$1</f>
        <v>1.2645217615603639</v>
      </c>
      <c r="U989" s="24" t="str" cm="1">
        <f t="array" ref="U989">_xlfn.IFS(T989&lt;1,"underpaid",T989&gt;1,"overpaid",T989=1,"median pay")</f>
        <v>overpaid</v>
      </c>
      <c r="V989" s="5"/>
    </row>
    <row r="990" spans="1:22" x14ac:dyDescent="0.3">
      <c r="A990" s="21" t="s">
        <v>1001</v>
      </c>
      <c r="B990" s="8" t="s">
        <v>2000</v>
      </c>
      <c r="C990" s="8" t="s">
        <v>2016</v>
      </c>
      <c r="D990" s="9">
        <v>45505</v>
      </c>
      <c r="E990" s="10">
        <f t="shared" si="150"/>
        <v>663528</v>
      </c>
      <c r="F990" s="8">
        <v>46319</v>
      </c>
      <c r="G990" s="8">
        <v>8975</v>
      </c>
      <c r="H990" s="11">
        <f t="shared" si="151"/>
        <v>23159.5</v>
      </c>
      <c r="I990" s="11">
        <f t="shared" si="152"/>
        <v>9263.8000000000011</v>
      </c>
      <c r="J990" s="11">
        <f t="shared" si="153"/>
        <v>13895.699999999997</v>
      </c>
      <c r="K990" s="11">
        <f t="shared" si="154"/>
        <v>2779.14</v>
      </c>
      <c r="L990" s="8">
        <v>200</v>
      </c>
      <c r="M990" s="8">
        <f t="shared" si="155"/>
        <v>208</v>
      </c>
      <c r="N990" s="11">
        <v>3</v>
      </c>
      <c r="O990" s="11">
        <f t="shared" si="156"/>
        <v>111.34375</v>
      </c>
      <c r="P990" s="11">
        <f t="shared" si="157"/>
        <v>222.6875</v>
      </c>
      <c r="Q990" s="11">
        <f t="shared" si="158"/>
        <v>668.0625</v>
      </c>
      <c r="R990" s="8">
        <v>52315</v>
      </c>
      <c r="S990" s="11">
        <f t="shared" si="159"/>
        <v>61290</v>
      </c>
      <c r="T990" s="20">
        <f>S990/median_percentile!$B$1</f>
        <v>1.2161076222506622</v>
      </c>
      <c r="U990" s="24" t="str" cm="1">
        <f t="array" ref="U990">_xlfn.IFS(T990&lt;1,"underpaid",T990&gt;1,"overpaid",T990=1,"median pay")</f>
        <v>overpaid</v>
      </c>
      <c r="V990" s="5"/>
    </row>
    <row r="991" spans="1:22" x14ac:dyDescent="0.3">
      <c r="A991" s="22" t="s">
        <v>1002</v>
      </c>
      <c r="B991" s="12" t="s">
        <v>2001</v>
      </c>
      <c r="C991" s="12" t="s">
        <v>2016</v>
      </c>
      <c r="D991" s="13">
        <v>45466</v>
      </c>
      <c r="E991" s="14">
        <f t="shared" si="150"/>
        <v>424176</v>
      </c>
      <c r="F991" s="12">
        <v>31272</v>
      </c>
      <c r="G991" s="12">
        <v>4076</v>
      </c>
      <c r="H991" s="15">
        <f t="shared" si="151"/>
        <v>15636</v>
      </c>
      <c r="I991" s="15">
        <f t="shared" si="152"/>
        <v>6254.4000000000005</v>
      </c>
      <c r="J991" s="15">
        <f t="shared" si="153"/>
        <v>9381.5999999999985</v>
      </c>
      <c r="K991" s="15">
        <f t="shared" si="154"/>
        <v>1876.32</v>
      </c>
      <c r="L991" s="12">
        <v>200</v>
      </c>
      <c r="M991" s="12">
        <f t="shared" si="155"/>
        <v>208</v>
      </c>
      <c r="N991" s="15">
        <v>2</v>
      </c>
      <c r="O991" s="15">
        <f t="shared" si="156"/>
        <v>75.17307692307692</v>
      </c>
      <c r="P991" s="15">
        <f t="shared" si="157"/>
        <v>150.34615384615384</v>
      </c>
      <c r="Q991" s="15">
        <f t="shared" si="158"/>
        <v>300.69230769230768</v>
      </c>
      <c r="R991" s="12">
        <v>33793</v>
      </c>
      <c r="S991" s="15">
        <f t="shared" si="159"/>
        <v>37869</v>
      </c>
      <c r="T991" s="20">
        <f>S991/median_percentile!$B$1</f>
        <v>0.75139141045864455</v>
      </c>
      <c r="U991" s="24" t="str" cm="1">
        <f t="array" ref="U991">_xlfn.IFS(T991&lt;1,"underpaid",T991&gt;1,"overpaid",T991=1,"median pay")</f>
        <v>underpaid</v>
      </c>
      <c r="V991" s="5"/>
    </row>
    <row r="992" spans="1:22" x14ac:dyDescent="0.3">
      <c r="A992" s="21" t="s">
        <v>1003</v>
      </c>
      <c r="B992" s="8" t="s">
        <v>2002</v>
      </c>
      <c r="C992" s="8" t="s">
        <v>2012</v>
      </c>
      <c r="D992" s="9">
        <v>44285</v>
      </c>
      <c r="E992" s="10">
        <f t="shared" si="150"/>
        <v>604104</v>
      </c>
      <c r="F992" s="8">
        <v>43753</v>
      </c>
      <c r="G992" s="8">
        <v>6589</v>
      </c>
      <c r="H992" s="11">
        <f t="shared" si="151"/>
        <v>21876.5</v>
      </c>
      <c r="I992" s="11">
        <f t="shared" si="152"/>
        <v>8750.6</v>
      </c>
      <c r="J992" s="11">
        <f t="shared" si="153"/>
        <v>13125.900000000001</v>
      </c>
      <c r="K992" s="11">
        <f t="shared" si="154"/>
        <v>2625.18</v>
      </c>
      <c r="L992" s="8">
        <v>200</v>
      </c>
      <c r="M992" s="8">
        <f t="shared" si="155"/>
        <v>208</v>
      </c>
      <c r="N992" s="11">
        <v>3</v>
      </c>
      <c r="O992" s="11">
        <f t="shared" si="156"/>
        <v>105.17548076923077</v>
      </c>
      <c r="P992" s="11">
        <f t="shared" si="157"/>
        <v>210.35096153846155</v>
      </c>
      <c r="Q992" s="11">
        <f t="shared" si="158"/>
        <v>631.05288461538464</v>
      </c>
      <c r="R992" s="8">
        <v>47517</v>
      </c>
      <c r="S992" s="11">
        <f t="shared" si="159"/>
        <v>54106</v>
      </c>
      <c r="T992" s="20">
        <f>S992/median_percentile!$B$1</f>
        <v>1.073563697332262</v>
      </c>
      <c r="U992" s="24" t="str" cm="1">
        <f t="array" ref="U992">_xlfn.IFS(T992&lt;1,"underpaid",T992&gt;1,"overpaid",T992=1,"median pay")</f>
        <v>overpaid</v>
      </c>
      <c r="V992" s="5"/>
    </row>
    <row r="993" spans="1:22" x14ac:dyDescent="0.3">
      <c r="A993" s="22" t="s">
        <v>1004</v>
      </c>
      <c r="B993" s="12" t="s">
        <v>2003</v>
      </c>
      <c r="C993" s="12" t="s">
        <v>2014</v>
      </c>
      <c r="D993" s="13">
        <v>45223</v>
      </c>
      <c r="E993" s="14">
        <f t="shared" si="150"/>
        <v>512880</v>
      </c>
      <c r="F993" s="12">
        <v>35954</v>
      </c>
      <c r="G993" s="12">
        <v>6786</v>
      </c>
      <c r="H993" s="15">
        <f t="shared" si="151"/>
        <v>17977</v>
      </c>
      <c r="I993" s="15">
        <f t="shared" si="152"/>
        <v>7190.8</v>
      </c>
      <c r="J993" s="15">
        <f t="shared" si="153"/>
        <v>10786.2</v>
      </c>
      <c r="K993" s="15">
        <f t="shared" si="154"/>
        <v>2157.2399999999998</v>
      </c>
      <c r="L993" s="12">
        <v>200</v>
      </c>
      <c r="M993" s="12">
        <f t="shared" si="155"/>
        <v>208</v>
      </c>
      <c r="N993" s="15">
        <v>2</v>
      </c>
      <c r="O993" s="15">
        <f t="shared" si="156"/>
        <v>86.427884615384613</v>
      </c>
      <c r="P993" s="15">
        <f t="shared" si="157"/>
        <v>172.85576923076923</v>
      </c>
      <c r="Q993" s="15">
        <f t="shared" si="158"/>
        <v>345.71153846153845</v>
      </c>
      <c r="R993" s="12">
        <v>40383</v>
      </c>
      <c r="S993" s="15">
        <f t="shared" si="159"/>
        <v>47169</v>
      </c>
      <c r="T993" s="20">
        <f>S993/median_percentile!$B$1</f>
        <v>0.93592071192595017</v>
      </c>
      <c r="U993" s="24" t="str" cm="1">
        <f t="array" ref="U993">_xlfn.IFS(T993&lt;1,"underpaid",T993&gt;1,"overpaid",T993=1,"median pay")</f>
        <v>underpaid</v>
      </c>
      <c r="V993" s="5"/>
    </row>
    <row r="994" spans="1:22" x14ac:dyDescent="0.3">
      <c r="A994" s="21" t="s">
        <v>1005</v>
      </c>
      <c r="B994" s="8" t="s">
        <v>2004</v>
      </c>
      <c r="C994" s="8" t="s">
        <v>2015</v>
      </c>
      <c r="D994" s="9">
        <v>44036</v>
      </c>
      <c r="E994" s="10">
        <f t="shared" si="150"/>
        <v>372972</v>
      </c>
      <c r="F994" s="8">
        <v>27698</v>
      </c>
      <c r="G994" s="8">
        <v>3383</v>
      </c>
      <c r="H994" s="11">
        <f t="shared" si="151"/>
        <v>13849</v>
      </c>
      <c r="I994" s="11">
        <f t="shared" si="152"/>
        <v>5539.6</v>
      </c>
      <c r="J994" s="11">
        <f t="shared" si="153"/>
        <v>8309.4000000000015</v>
      </c>
      <c r="K994" s="11">
        <f t="shared" si="154"/>
        <v>1661.8799999999999</v>
      </c>
      <c r="L994" s="8">
        <v>200</v>
      </c>
      <c r="M994" s="8">
        <f t="shared" si="155"/>
        <v>208</v>
      </c>
      <c r="N994" s="11">
        <v>0</v>
      </c>
      <c r="O994" s="11">
        <f t="shared" si="156"/>
        <v>66.581730769230774</v>
      </c>
      <c r="P994" s="11">
        <f t="shared" si="157"/>
        <v>133.16346153846155</v>
      </c>
      <c r="Q994" s="11">
        <f t="shared" si="158"/>
        <v>0</v>
      </c>
      <c r="R994" s="8">
        <v>29681</v>
      </c>
      <c r="S994" s="11">
        <f t="shared" si="159"/>
        <v>33064</v>
      </c>
      <c r="T994" s="20">
        <f>S994/median_percentile!$B$1</f>
        <v>0.65605127136720343</v>
      </c>
      <c r="U994" s="24" t="str" cm="1">
        <f t="array" ref="U994">_xlfn.IFS(T994&lt;1,"underpaid",T994&gt;1,"overpaid",T994=1,"median pay")</f>
        <v>underpaid</v>
      </c>
      <c r="V994" s="5"/>
    </row>
    <row r="995" spans="1:22" x14ac:dyDescent="0.3">
      <c r="A995" s="22" t="s">
        <v>1006</v>
      </c>
      <c r="B995" s="12" t="s">
        <v>2005</v>
      </c>
      <c r="C995" s="12" t="s">
        <v>2016</v>
      </c>
      <c r="D995" s="13">
        <v>43989</v>
      </c>
      <c r="E995" s="14">
        <f t="shared" si="150"/>
        <v>563868</v>
      </c>
      <c r="F995" s="12">
        <v>40802</v>
      </c>
      <c r="G995" s="12">
        <v>6187</v>
      </c>
      <c r="H995" s="15">
        <f t="shared" si="151"/>
        <v>20401</v>
      </c>
      <c r="I995" s="15">
        <f t="shared" si="152"/>
        <v>8160.4000000000005</v>
      </c>
      <c r="J995" s="15">
        <f t="shared" si="153"/>
        <v>12240.599999999999</v>
      </c>
      <c r="K995" s="15">
        <f t="shared" si="154"/>
        <v>2448.12</v>
      </c>
      <c r="L995" s="12">
        <v>200</v>
      </c>
      <c r="M995" s="12">
        <f t="shared" si="155"/>
        <v>208</v>
      </c>
      <c r="N995" s="15">
        <v>5</v>
      </c>
      <c r="O995" s="15">
        <f t="shared" si="156"/>
        <v>98.081730769230774</v>
      </c>
      <c r="P995" s="15">
        <f t="shared" si="157"/>
        <v>196.16346153846155</v>
      </c>
      <c r="Q995" s="15">
        <f t="shared" si="158"/>
        <v>980.81730769230774</v>
      </c>
      <c r="R995" s="12">
        <v>45021</v>
      </c>
      <c r="S995" s="15">
        <f t="shared" si="159"/>
        <v>51208</v>
      </c>
      <c r="T995" s="20">
        <f>S995/median_percentile!$B$1</f>
        <v>1.0160619859718047</v>
      </c>
      <c r="U995" s="24" t="str" cm="1">
        <f t="array" ref="U995">_xlfn.IFS(T995&lt;1,"underpaid",T995&gt;1,"overpaid",T995=1,"median pay")</f>
        <v>overpaid</v>
      </c>
      <c r="V995" s="5"/>
    </row>
    <row r="996" spans="1:22" x14ac:dyDescent="0.3">
      <c r="A996" s="21" t="s">
        <v>1007</v>
      </c>
      <c r="B996" s="8" t="s">
        <v>2006</v>
      </c>
      <c r="C996" s="8" t="s">
        <v>2013</v>
      </c>
      <c r="D996" s="9">
        <v>44649</v>
      </c>
      <c r="E996" s="10">
        <f t="shared" si="150"/>
        <v>646008</v>
      </c>
      <c r="F996" s="8">
        <v>45524</v>
      </c>
      <c r="G996" s="8">
        <v>8310</v>
      </c>
      <c r="H996" s="11">
        <f t="shared" si="151"/>
        <v>22762</v>
      </c>
      <c r="I996" s="11">
        <f t="shared" si="152"/>
        <v>9104.8000000000011</v>
      </c>
      <c r="J996" s="11">
        <f t="shared" si="153"/>
        <v>13657.199999999997</v>
      </c>
      <c r="K996" s="11">
        <f t="shared" si="154"/>
        <v>2731.44</v>
      </c>
      <c r="L996" s="8">
        <v>200</v>
      </c>
      <c r="M996" s="8">
        <f t="shared" si="155"/>
        <v>208</v>
      </c>
      <c r="N996" s="11">
        <v>2</v>
      </c>
      <c r="O996" s="11">
        <f t="shared" si="156"/>
        <v>109.43269230769231</v>
      </c>
      <c r="P996" s="11">
        <f t="shared" si="157"/>
        <v>218.86538461538461</v>
      </c>
      <c r="Q996" s="11">
        <f t="shared" si="158"/>
        <v>437.73076923076923</v>
      </c>
      <c r="R996" s="8">
        <v>51282</v>
      </c>
      <c r="S996" s="11">
        <f t="shared" si="159"/>
        <v>59592</v>
      </c>
      <c r="T996" s="20">
        <f>S996/median_percentile!$B$1</f>
        <v>1.1824161433375993</v>
      </c>
      <c r="U996" s="24" t="str" cm="1">
        <f t="array" ref="U996">_xlfn.IFS(T996&lt;1,"underpaid",T996&gt;1,"overpaid",T996=1,"median pay")</f>
        <v>overpaid</v>
      </c>
      <c r="V996" s="5"/>
    </row>
    <row r="997" spans="1:22" x14ac:dyDescent="0.3">
      <c r="A997" s="22" t="s">
        <v>1008</v>
      </c>
      <c r="B997" s="12" t="s">
        <v>2007</v>
      </c>
      <c r="C997" s="12" t="s">
        <v>2011</v>
      </c>
      <c r="D997" s="13">
        <v>45336</v>
      </c>
      <c r="E997" s="14">
        <f t="shared" si="150"/>
        <v>552216</v>
      </c>
      <c r="F997" s="12">
        <v>38989</v>
      </c>
      <c r="G997" s="12">
        <v>7029</v>
      </c>
      <c r="H997" s="15">
        <f t="shared" si="151"/>
        <v>19494.5</v>
      </c>
      <c r="I997" s="15">
        <f t="shared" si="152"/>
        <v>7797.8</v>
      </c>
      <c r="J997" s="15">
        <f t="shared" si="153"/>
        <v>11696.7</v>
      </c>
      <c r="K997" s="15">
        <f t="shared" si="154"/>
        <v>2339.3399999999997</v>
      </c>
      <c r="L997" s="12">
        <v>200</v>
      </c>
      <c r="M997" s="12">
        <f t="shared" si="155"/>
        <v>208</v>
      </c>
      <c r="N997" s="15">
        <v>3</v>
      </c>
      <c r="O997" s="15">
        <f t="shared" si="156"/>
        <v>93.723557692307693</v>
      </c>
      <c r="P997" s="15">
        <f t="shared" si="157"/>
        <v>187.44711538461539</v>
      </c>
      <c r="Q997" s="15">
        <f t="shared" si="158"/>
        <v>562.34134615384619</v>
      </c>
      <c r="R997" s="12">
        <v>43479</v>
      </c>
      <c r="S997" s="15">
        <f t="shared" si="159"/>
        <v>50508</v>
      </c>
      <c r="T997" s="20">
        <f>S997/median_percentile!$B$1</f>
        <v>1.0021726837108247</v>
      </c>
      <c r="U997" s="24" t="str" cm="1">
        <f t="array" ref="U997">_xlfn.IFS(T997&lt;1,"underpaid",T997&gt;1,"overpaid",T997=1,"median pay")</f>
        <v>overpaid</v>
      </c>
      <c r="V997" s="5"/>
    </row>
    <row r="998" spans="1:22" x14ac:dyDescent="0.3">
      <c r="A998" s="21" t="s">
        <v>1009</v>
      </c>
      <c r="B998" s="8" t="s">
        <v>2008</v>
      </c>
      <c r="C998" s="8" t="s">
        <v>2014</v>
      </c>
      <c r="D998" s="9">
        <v>44641</v>
      </c>
      <c r="E998" s="10">
        <f t="shared" si="150"/>
        <v>906336</v>
      </c>
      <c r="F998" s="8">
        <v>67188</v>
      </c>
      <c r="G998" s="8">
        <v>8340</v>
      </c>
      <c r="H998" s="11">
        <f t="shared" si="151"/>
        <v>33594</v>
      </c>
      <c r="I998" s="11">
        <f t="shared" si="152"/>
        <v>13437.6</v>
      </c>
      <c r="J998" s="11">
        <f t="shared" si="153"/>
        <v>20156.400000000001</v>
      </c>
      <c r="K998" s="11">
        <f t="shared" si="154"/>
        <v>4031.2799999999997</v>
      </c>
      <c r="L998" s="8">
        <v>200</v>
      </c>
      <c r="M998" s="8">
        <f t="shared" si="155"/>
        <v>208</v>
      </c>
      <c r="N998" s="11">
        <v>3</v>
      </c>
      <c r="O998" s="11">
        <f t="shared" si="156"/>
        <v>161.50961538461539</v>
      </c>
      <c r="P998" s="11">
        <f t="shared" si="157"/>
        <v>323.01923076923077</v>
      </c>
      <c r="Q998" s="11">
        <f t="shared" si="158"/>
        <v>969.05769230769238</v>
      </c>
      <c r="R998" s="8">
        <v>72416</v>
      </c>
      <c r="S998" s="11">
        <f t="shared" si="159"/>
        <v>80756</v>
      </c>
      <c r="T998" s="20">
        <f>S998/median_percentile!$B$1</f>
        <v>1.6023492762681428</v>
      </c>
      <c r="U998" s="24" t="str" cm="1">
        <f t="array" ref="U998">_xlfn.IFS(T998&lt;1,"underpaid",T998&gt;1,"overpaid",T998=1,"median pay")</f>
        <v>overpaid</v>
      </c>
      <c r="V998" s="5"/>
    </row>
    <row r="999" spans="1:22" x14ac:dyDescent="0.3">
      <c r="A999" s="22" t="s">
        <v>1010</v>
      </c>
      <c r="B999" s="12" t="s">
        <v>2009</v>
      </c>
      <c r="C999" s="12" t="s">
        <v>2014</v>
      </c>
      <c r="D999" s="13">
        <v>44329</v>
      </c>
      <c r="E999" s="14">
        <f t="shared" si="150"/>
        <v>872028</v>
      </c>
      <c r="F999" s="12">
        <v>62880</v>
      </c>
      <c r="G999" s="12">
        <v>9789</v>
      </c>
      <c r="H999" s="15">
        <f t="shared" si="151"/>
        <v>31440</v>
      </c>
      <c r="I999" s="15">
        <f t="shared" si="152"/>
        <v>12576</v>
      </c>
      <c r="J999" s="15">
        <f t="shared" si="153"/>
        <v>18864</v>
      </c>
      <c r="K999" s="15">
        <f t="shared" si="154"/>
        <v>3772.7999999999997</v>
      </c>
      <c r="L999" s="12">
        <v>200</v>
      </c>
      <c r="M999" s="12">
        <f t="shared" si="155"/>
        <v>208</v>
      </c>
      <c r="N999" s="15">
        <v>0</v>
      </c>
      <c r="O999" s="15">
        <f t="shared" si="156"/>
        <v>151.15384615384616</v>
      </c>
      <c r="P999" s="15">
        <f t="shared" si="157"/>
        <v>302.30769230769232</v>
      </c>
      <c r="Q999" s="15">
        <f t="shared" si="158"/>
        <v>0</v>
      </c>
      <c r="R999" s="12">
        <v>68697</v>
      </c>
      <c r="S999" s="15">
        <f t="shared" si="159"/>
        <v>78486</v>
      </c>
      <c r="T999" s="20">
        <f>S999/median_percentile!$B$1</f>
        <v>1.5573082532218221</v>
      </c>
      <c r="U999" s="24" t="str" cm="1">
        <f t="array" ref="U999">_xlfn.IFS(T999&lt;1,"underpaid",T999&gt;1,"overpaid",T999=1,"median pay")</f>
        <v>overpaid</v>
      </c>
      <c r="V999" s="5"/>
    </row>
    <row r="1000" spans="1:22" x14ac:dyDescent="0.3">
      <c r="A1000" s="21" t="s">
        <v>1011</v>
      </c>
      <c r="B1000" s="8" t="s">
        <v>2010</v>
      </c>
      <c r="C1000" s="8" t="s">
        <v>2016</v>
      </c>
      <c r="D1000" s="9">
        <v>43524</v>
      </c>
      <c r="E1000" s="10">
        <f t="shared" si="150"/>
        <v>348372</v>
      </c>
      <c r="F1000" s="8">
        <v>25507</v>
      </c>
      <c r="G1000" s="8">
        <v>3524</v>
      </c>
      <c r="H1000" s="11">
        <f t="shared" si="151"/>
        <v>12753.5</v>
      </c>
      <c r="I1000" s="11">
        <f t="shared" si="152"/>
        <v>5101.4000000000005</v>
      </c>
      <c r="J1000" s="11">
        <f t="shared" si="153"/>
        <v>7652.0999999999985</v>
      </c>
      <c r="K1000" s="11">
        <f t="shared" si="154"/>
        <v>1530.4199999999998</v>
      </c>
      <c r="L1000" s="8">
        <v>200</v>
      </c>
      <c r="M1000" s="8">
        <f t="shared" si="155"/>
        <v>208</v>
      </c>
      <c r="N1000" s="11">
        <v>3</v>
      </c>
      <c r="O1000" s="11">
        <f t="shared" si="156"/>
        <v>61.314903846153847</v>
      </c>
      <c r="P1000" s="11">
        <f t="shared" si="157"/>
        <v>122.62980769230769</v>
      </c>
      <c r="Q1000" s="11">
        <f t="shared" si="158"/>
        <v>367.88942307692309</v>
      </c>
      <c r="R1000" s="8">
        <v>27726</v>
      </c>
      <c r="S1000" s="11">
        <f t="shared" si="159"/>
        <v>31250</v>
      </c>
      <c r="T1000" s="20">
        <f>S1000/median_percentile!$B$1</f>
        <v>0.62005813665089238</v>
      </c>
      <c r="U1000" s="24" t="str" cm="1">
        <f t="array" ref="U1000">_xlfn.IFS(T1000&lt;1,"underpaid",T1000&gt;1,"overpaid",T1000=1,"median pay")</f>
        <v>underpaid</v>
      </c>
      <c r="V1000" s="5"/>
    </row>
    <row r="1001" spans="1:22" x14ac:dyDescent="0.3">
      <c r="A1001" s="23" t="s">
        <v>2026</v>
      </c>
      <c r="B1001" s="16" t="s">
        <v>2027</v>
      </c>
      <c r="C1001" s="16" t="s">
        <v>2014</v>
      </c>
      <c r="D1001" s="17">
        <v>43590</v>
      </c>
      <c r="E1001" s="18">
        <f t="shared" si="150"/>
        <v>633600</v>
      </c>
      <c r="F1001" s="16">
        <v>46042</v>
      </c>
      <c r="G1001" s="16">
        <v>6758</v>
      </c>
      <c r="H1001" s="19">
        <f t="shared" si="151"/>
        <v>23021</v>
      </c>
      <c r="I1001" s="19">
        <f t="shared" si="152"/>
        <v>9208.4</v>
      </c>
      <c r="J1001" s="19">
        <f t="shared" si="153"/>
        <v>13812.599999999999</v>
      </c>
      <c r="K1001" s="19">
        <f t="shared" si="154"/>
        <v>2762.52</v>
      </c>
      <c r="L1001" s="16">
        <v>200</v>
      </c>
      <c r="M1001" s="16">
        <f t="shared" si="155"/>
        <v>208</v>
      </c>
      <c r="N1001" s="19">
        <v>3</v>
      </c>
      <c r="O1001" s="19">
        <f t="shared" si="156"/>
        <v>110.67788461538461</v>
      </c>
      <c r="P1001" s="19">
        <f t="shared" si="157"/>
        <v>221.35576923076923</v>
      </c>
      <c r="Q1001" s="19">
        <f t="shared" si="158"/>
        <v>664.06730769230762</v>
      </c>
      <c r="R1001" s="16">
        <v>49838</v>
      </c>
      <c r="S1001" s="19">
        <f t="shared" si="159"/>
        <v>56596</v>
      </c>
      <c r="T1001" s="20">
        <f>S1001/median_percentile!$B$1</f>
        <v>1.122969929660605</v>
      </c>
      <c r="U1001" s="24" t="str" cm="1">
        <f t="array" ref="U1001">_xlfn.IFS(T1001&lt;1,"underpaid",T1001&gt;1,"overpaid",T1001=1,"median pay")</f>
        <v>overpaid</v>
      </c>
      <c r="V1001" s="5"/>
    </row>
  </sheetData>
  <phoneticPr fontId="3" type="noConversion"/>
  <conditionalFormatting sqref="U2:U1001">
    <cfRule type="containsText" dxfId="23" priority="3" operator="containsText" text="underpaid">
      <formula>NOT(ISERROR(SEARCH("underpaid",U2)))</formula>
    </cfRule>
    <cfRule type="containsText" dxfId="24" priority="2" operator="containsText" text="overpaid">
      <formula>NOT(ISERROR(SEARCH("overpaid",U2)))</formula>
    </cfRule>
    <cfRule type="containsText" dxfId="25" priority="1" operator="containsText" text="median pay ">
      <formula>NOT(ISERROR(SEARCH("median pay ",U2)))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3D7E-61C7-4893-B8D5-32CDEDA4C4D0}">
  <dimension ref="A1:B3"/>
  <sheetViews>
    <sheetView workbookViewId="0">
      <selection activeCell="E24" sqref="E24"/>
    </sheetView>
  </sheetViews>
  <sheetFormatPr defaultRowHeight="14.4" x14ac:dyDescent="0.3"/>
  <cols>
    <col min="1" max="1" width="25.5546875" customWidth="1"/>
    <col min="2" max="2" width="12.77734375" customWidth="1"/>
  </cols>
  <sheetData>
    <row r="1" spans="1:2" x14ac:dyDescent="0.3">
      <c r="A1" s="3" t="s">
        <v>2023</v>
      </c>
      <c r="B1" s="4">
        <f>MEDIAN(Sheet1!S2:S1001)</f>
        <v>50398.5</v>
      </c>
    </row>
    <row r="2" spans="1:2" x14ac:dyDescent="0.3">
      <c r="A2" s="3" t="s">
        <v>2024</v>
      </c>
      <c r="B2" s="3">
        <f>_xlfn.PERCENTILE.INC(Sheet1!S2:S1001,0.25)</f>
        <v>41025</v>
      </c>
    </row>
    <row r="3" spans="1:2" x14ac:dyDescent="0.3">
      <c r="A3" s="3" t="s">
        <v>2025</v>
      </c>
      <c r="B3" s="3">
        <f>_xlfn.PERCENTILE.INC(Sheet1!S3:S1002,0.75)</f>
        <v>59889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median_percentile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 khandelwal</cp:lastModifiedBy>
  <dcterms:created xsi:type="dcterms:W3CDTF">2026-02-15T15:56:26Z</dcterms:created>
  <dcterms:modified xsi:type="dcterms:W3CDTF">2026-03-30T16:38:42Z</dcterms:modified>
</cp:coreProperties>
</file>